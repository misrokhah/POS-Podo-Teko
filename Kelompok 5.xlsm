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1490" windowHeight="8010"/>
  </bookViews>
  <sheets>
    <sheet name="LOGIN" sheetId="3" r:id="rId1"/>
    <sheet name="Data" sheetId="1" state="veryHidden" r:id="rId2"/>
    <sheet name="Kasir" sheetId="5" state="hidden" r:id="rId3"/>
    <sheet name="sheet5" sheetId="6" state="hidden" r:id="rId4"/>
    <sheet name="BELAJAR" sheetId="8" r:id="rId5"/>
  </sheets>
  <externalReferences>
    <externalReference r:id="rId6"/>
  </externalReferences>
  <definedNames>
    <definedName name="_xlnm._FilterDatabase" localSheetId="1" hidden="1">Data!$B$3:$M$51</definedName>
    <definedName name="belajar">BELAJAR!$A$1:$J$415</definedName>
    <definedName name="cacak">BELAJAR!$A$1:$K$296</definedName>
    <definedName name="Data">OFFSET(Data!$B$2,0,0,COUNTA(Data!$B:$B)+1,10)</definedName>
    <definedName name="hm">BELAJAR!$A$1:$H$42</definedName>
    <definedName name="Laba_Penjualan">#REF!</definedName>
    <definedName name="Lap">sheet5!$A$2:$G$45</definedName>
    <definedName name="Laporan1">OFFSET(sheet5!$B$1,0,0,COUNTA(sheet5!$B:$B)+1,7)</definedName>
    <definedName name="Nama">Table1[Nama Barang]</definedName>
    <definedName name="Nomor">OFFSET(Data!$B$2,1,0,COUNTA(Data!$B:$B)-2,1)</definedName>
    <definedName name="PRINT">Data!$B:$M</definedName>
    <definedName name="_xlnm.Print_Area" localSheetId="1">Data!$B$1:$M$19</definedName>
  </definedNames>
  <calcPr calcId="124519"/>
</workbook>
</file>

<file path=xl/calcChain.xml><?xml version="1.0" encoding="utf-8"?>
<calcChain xmlns="http://schemas.openxmlformats.org/spreadsheetml/2006/main">
  <c r="F15" i="5"/>
  <c r="G15" s="1"/>
  <c r="D15"/>
  <c r="C15"/>
  <c r="F14"/>
  <c r="G14" s="1"/>
  <c r="D14"/>
  <c r="C14"/>
  <c r="F13"/>
  <c r="G13" s="1"/>
  <c r="D13"/>
  <c r="C13"/>
  <c r="F12"/>
  <c r="G12" s="1"/>
  <c r="D12"/>
  <c r="C12"/>
  <c r="G11"/>
  <c r="F10"/>
  <c r="G10" s="1"/>
  <c r="D10"/>
  <c r="C10"/>
  <c r="F9"/>
  <c r="G9" s="1"/>
  <c r="D9"/>
  <c r="C9"/>
</calcChain>
</file>

<file path=xl/sharedStrings.xml><?xml version="1.0" encoding="utf-8"?>
<sst xmlns="http://schemas.openxmlformats.org/spreadsheetml/2006/main" count="171" uniqueCount="96">
  <si>
    <t>Lokasi</t>
  </si>
  <si>
    <t>Plat</t>
  </si>
  <si>
    <t>Tahun</t>
  </si>
  <si>
    <t>User</t>
  </si>
  <si>
    <t>Password</t>
  </si>
  <si>
    <t>admin</t>
  </si>
  <si>
    <t xml:space="preserve">  </t>
  </si>
  <si>
    <t xml:space="preserve">   </t>
  </si>
  <si>
    <t>Kelengkapan</t>
  </si>
  <si>
    <t>Status</t>
  </si>
  <si>
    <t>Kode Barang</t>
  </si>
  <si>
    <t>Nama Barang</t>
  </si>
  <si>
    <t>Stock</t>
  </si>
  <si>
    <t>Harga Jual</t>
  </si>
  <si>
    <t>Harga Beli</t>
  </si>
  <si>
    <t>KECAP ABC</t>
  </si>
  <si>
    <t>ABC SAUS TOMAT</t>
  </si>
  <si>
    <t>KECAP SEDAAP MANIS</t>
  </si>
  <si>
    <t xml:space="preserve">KECAP MIRAMA MANIS BOTOL </t>
  </si>
  <si>
    <t xml:space="preserve">LUX </t>
  </si>
  <si>
    <t>LIFEBUOY</t>
  </si>
  <si>
    <t>SHINZUI</t>
  </si>
  <si>
    <t>NUVO FAMILY</t>
  </si>
  <si>
    <t>CUSSON BABY SOAP</t>
  </si>
  <si>
    <t xml:space="preserve">RINSO ANTI NODA </t>
  </si>
  <si>
    <t xml:space="preserve">RINSO MOLTO </t>
  </si>
  <si>
    <t xml:space="preserve">ATTACK EASY </t>
  </si>
  <si>
    <t xml:space="preserve">ATTACK SOFTENER </t>
  </si>
  <si>
    <t xml:space="preserve">ATTACK MAXIMIZER </t>
  </si>
  <si>
    <t xml:space="preserve">ATTACK COLOUR </t>
  </si>
  <si>
    <t xml:space="preserve">SURF CLEAN FRESH </t>
  </si>
  <si>
    <t xml:space="preserve">BUKRIM 5000 </t>
  </si>
  <si>
    <t xml:space="preserve">TROPICAL </t>
  </si>
  <si>
    <t>SARI MURNI</t>
  </si>
  <si>
    <t>Jenis Barang</t>
  </si>
  <si>
    <t>KECAP</t>
  </si>
  <si>
    <t>SAUS</t>
  </si>
  <si>
    <t>SABUN</t>
  </si>
  <si>
    <t>DETERGEN</t>
  </si>
  <si>
    <t>No</t>
  </si>
  <si>
    <t>Jenis</t>
  </si>
  <si>
    <t>Merk</t>
  </si>
  <si>
    <t>Qty</t>
  </si>
  <si>
    <t>Harga</t>
  </si>
  <si>
    <t>KASIR PODO TEKO</t>
  </si>
  <si>
    <t>CASH        Rp</t>
  </si>
  <si>
    <t>KEMBALI   Rp</t>
  </si>
  <si>
    <t>Kode</t>
  </si>
  <si>
    <t>Tipe</t>
  </si>
  <si>
    <t>Total</t>
  </si>
  <si>
    <t>Tgl :</t>
  </si>
  <si>
    <t>LAPORAN PENJUALAN TOKO PODOTEKO</t>
  </si>
  <si>
    <t>Total Harga</t>
  </si>
  <si>
    <t>NO</t>
  </si>
  <si>
    <t>A11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</si>
  <si>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</si>
  <si>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</si>
  <si>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</si>
  <si>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</si>
  <si>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</si>
  <si>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</si>
  <si>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</si>
  <si>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</si>
  <si>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</si>
  <si>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</si>
  <si>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</si>
  <si>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</si>
  <si>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</si>
  <si>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</si>
  <si>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</si>
  <si>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</si>
  <si>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</si>
  <si>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</si>
  <si>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</si>
  <si>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</si>
  <si>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</si>
  <si>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</si>
  <si>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</si>
  <si>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</si>
  <si>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</si>
  <si>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</si>
  <si>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</si>
  <si>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</si>
  <si>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</si>
  <si>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</si>
  <si>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</si>
  <si>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Kode Brg</t>
  </si>
  <si>
    <t>Nama Brg</t>
  </si>
  <si>
    <t>Jumlah</t>
  </si>
  <si>
    <t>Harga Satuan</t>
  </si>
  <si>
    <t>A1</t>
  </si>
  <si>
    <t>Total Pembayaran</t>
  </si>
  <si>
    <t>Bayar</t>
  </si>
  <si>
    <t>Kembali</t>
  </si>
  <si>
    <t>ABC SAUS CABE</t>
  </si>
  <si>
    <t xml:space="preserve"> </t>
  </si>
</sst>
</file>

<file path=xl/styles.xml><?xml version="1.0" encoding="utf-8"?>
<styleSheet xmlns="http://schemas.openxmlformats.org/spreadsheetml/2006/main">
  <numFmts count="7">
    <numFmt numFmtId="6" formatCode="&quot;Rp&quot;#,##0_);[Red]\(&quot;Rp&quot;#,##0\)"/>
    <numFmt numFmtId="42" formatCode="_(&quot;Rp&quot;* #,##0_);_(&quot;Rp&quot;* \(#,##0\);_(&quot;Rp&quot;* &quot;-&quot;_);_(@_)"/>
    <numFmt numFmtId="164" formatCode="_([$Rp-421]* #,##0.00_);_([$Rp-421]* \(#,##0.00\);_([$Rp-421]* &quot;-&quot;??_);_(@_)"/>
    <numFmt numFmtId="165" formatCode="hh:mm:ss\ AM/PM"/>
    <numFmt numFmtId="166" formatCode="&quot;Rp&quot;#,##0;[Red]&quot;Rp&quot;#,##0"/>
    <numFmt numFmtId="167" formatCode="[$-F400]h:mm:ss\ AM/PM"/>
    <numFmt numFmtId="168" formatCode="&quot;Rp&quot;#,##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Aharoni"/>
      <charset val="177"/>
    </font>
    <font>
      <sz val="20"/>
      <color theme="1"/>
      <name val="Cambria"/>
      <family val="1"/>
      <scheme val="maj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mbria"/>
      <family val="2"/>
      <charset val="1"/>
    </font>
    <font>
      <sz val="16"/>
      <color theme="1"/>
      <name val="Arial Narrow"/>
      <family val="2"/>
    </font>
    <font>
      <sz val="11"/>
      <color theme="0"/>
      <name val="Calibri"/>
      <family val="2"/>
    </font>
    <font>
      <sz val="11"/>
      <color rgb="FF000000"/>
      <name val="Times New Roman"/>
      <family val="1"/>
    </font>
    <font>
      <b/>
      <sz val="11"/>
      <color theme="0"/>
      <name val="Calibri"/>
      <family val="2"/>
    </font>
    <font>
      <b/>
      <sz val="20"/>
      <color theme="1"/>
      <name val="Calibri"/>
      <family val="2"/>
      <scheme val="minor"/>
    </font>
    <font>
      <sz val="16"/>
      <color theme="1"/>
      <name val="Bodoni MT Black"/>
      <family val="1"/>
    </font>
    <font>
      <sz val="20"/>
      <color theme="1"/>
      <name val="Bodoni MT Black"/>
      <family val="1"/>
    </font>
    <font>
      <sz val="11"/>
      <color theme="1"/>
      <name val="Times New Roman"/>
      <family val="1"/>
    </font>
    <font>
      <sz val="11"/>
      <color theme="0"/>
      <name val="Times New Roman"/>
      <family val="1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 style="thick">
        <color auto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 style="thin">
        <color rgb="FFFF0000"/>
      </right>
      <top style="thick">
        <color theme="0"/>
      </top>
      <bottom style="thin">
        <color rgb="FFFF0000"/>
      </bottom>
      <diagonal/>
    </border>
    <border>
      <left style="thin">
        <color rgb="FFFF0000"/>
      </left>
      <right style="thick">
        <color theme="0"/>
      </right>
      <top style="thick">
        <color theme="0"/>
      </top>
      <bottom style="thin">
        <color rgb="FFFF0000"/>
      </bottom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n">
        <color rgb="FFFF0000"/>
      </right>
      <top style="thin">
        <color rgb="FFFF0000"/>
      </top>
      <bottom style="thick">
        <color theme="0"/>
      </bottom>
      <diagonal/>
    </border>
    <border>
      <left style="thin">
        <color rgb="FFFF0000"/>
      </left>
      <right style="thick">
        <color theme="0"/>
      </right>
      <top style="thin">
        <color rgb="FFFF000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rgb="FFFF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rgb="FFFF0000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ck">
        <color theme="0"/>
      </top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2" fontId="4" fillId="0" borderId="0" applyFont="0" applyFill="0" applyBorder="0" applyAlignment="0" applyProtection="0"/>
    <xf numFmtId="0" fontId="6" fillId="0" borderId="0"/>
    <xf numFmtId="0" fontId="1" fillId="0" borderId="0"/>
  </cellStyleXfs>
  <cellXfs count="88">
    <xf numFmtId="0" fontId="0" fillId="0" borderId="0" xfId="0"/>
    <xf numFmtId="0" fontId="2" fillId="0" borderId="0" xfId="0" applyFont="1" applyAlignment="1">
      <alignment horizontal="center"/>
    </xf>
    <xf numFmtId="42" fontId="0" fillId="0" borderId="0" xfId="1" applyFont="1"/>
    <xf numFmtId="0" fontId="5" fillId="0" borderId="0" xfId="0" applyFont="1" applyAlignment="1" applyProtection="1">
      <alignment horizontal="center" vertical="center"/>
      <protection locked="0"/>
    </xf>
    <xf numFmtId="0" fontId="6" fillId="2" borderId="0" xfId="2" applyFill="1"/>
    <xf numFmtId="0" fontId="7" fillId="2" borderId="4" xfId="2" applyFont="1" applyFill="1" applyBorder="1" applyAlignment="1">
      <alignment horizontal="center" vertical="center"/>
    </xf>
    <xf numFmtId="0" fontId="7" fillId="2" borderId="5" xfId="2" applyNumberFormat="1" applyFont="1" applyFill="1" applyBorder="1" applyAlignment="1">
      <alignment horizontal="center" vertical="center"/>
    </xf>
    <xf numFmtId="0" fontId="7" fillId="3" borderId="2" xfId="2" applyFont="1" applyFill="1" applyBorder="1" applyAlignment="1">
      <alignment horizontal="center" vertical="center"/>
    </xf>
    <xf numFmtId="0" fontId="7" fillId="3" borderId="3" xfId="2" applyFont="1" applyFill="1" applyBorder="1" applyAlignment="1">
      <alignment horizontal="center" vertical="center"/>
    </xf>
    <xf numFmtId="0" fontId="0" fillId="0" borderId="0" xfId="0" applyFill="1"/>
    <xf numFmtId="164" fontId="0" fillId="0" borderId="0" xfId="1" applyNumberFormat="1" applyFont="1" applyAlignment="1">
      <alignment horizontal="center" vertical="center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6" fontId="0" fillId="0" borderId="0" xfId="0" applyNumberFormat="1" applyBorder="1" applyAlignment="1">
      <alignment horizontal="center" vertical="center"/>
    </xf>
    <xf numFmtId="42" fontId="0" fillId="0" borderId="0" xfId="1" applyFont="1" applyBorder="1" applyAlignment="1" applyProtection="1">
      <alignment horizontal="center" vertical="center"/>
      <protection locked="0"/>
    </xf>
    <xf numFmtId="0" fontId="8" fillId="5" borderId="0" xfId="0" applyFont="1" applyFill="1" applyAlignment="1" applyProtection="1">
      <alignment horizontal="center" vertical="center"/>
      <protection locked="0"/>
    </xf>
    <xf numFmtId="0" fontId="9" fillId="0" borderId="0" xfId="0" applyFont="1"/>
    <xf numFmtId="0" fontId="10" fillId="5" borderId="9" xfId="0" applyFont="1" applyFill="1" applyBorder="1" applyAlignment="1">
      <alignment horizontal="center" vertical="center"/>
    </xf>
    <xf numFmtId="164" fontId="10" fillId="5" borderId="10" xfId="1" applyNumberFormat="1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6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2" fontId="0" fillId="0" borderId="6" xfId="0" applyNumberFormat="1" applyBorder="1" applyAlignment="1">
      <alignment horizontal="center" vertical="center"/>
    </xf>
    <xf numFmtId="0" fontId="0" fillId="0" borderId="6" xfId="0" applyBorder="1"/>
    <xf numFmtId="0" fontId="0" fillId="0" borderId="6" xfId="0" applyBorder="1" applyAlignment="1">
      <alignment vertical="center"/>
    </xf>
    <xf numFmtId="0" fontId="14" fillId="10" borderId="31" xfId="0" applyFont="1" applyFill="1" applyBorder="1" applyAlignment="1">
      <alignment horizontal="center" vertical="top"/>
    </xf>
    <xf numFmtId="0" fontId="14" fillId="10" borderId="32" xfId="0" applyFont="1" applyFill="1" applyBorder="1" applyAlignment="1">
      <alignment horizontal="center"/>
    </xf>
    <xf numFmtId="166" fontId="14" fillId="10" borderId="32" xfId="0" applyNumberFormat="1" applyFont="1" applyFill="1" applyBorder="1" applyAlignment="1">
      <alignment horizontal="center"/>
    </xf>
    <xf numFmtId="166" fontId="14" fillId="10" borderId="33" xfId="0" applyNumberFormat="1" applyFont="1" applyFill="1" applyBorder="1" applyAlignment="1">
      <alignment horizontal="center"/>
    </xf>
    <xf numFmtId="0" fontId="14" fillId="10" borderId="34" xfId="0" applyFont="1" applyFill="1" applyBorder="1"/>
    <xf numFmtId="0" fontId="14" fillId="10" borderId="0" xfId="0" applyFont="1" applyFill="1" applyBorder="1"/>
    <xf numFmtId="166" fontId="14" fillId="10" borderId="0" xfId="0" applyNumberFormat="1" applyFont="1" applyFill="1" applyBorder="1"/>
    <xf numFmtId="166" fontId="14" fillId="10" borderId="35" xfId="0" applyNumberFormat="1" applyFont="1" applyFill="1" applyBorder="1"/>
    <xf numFmtId="0" fontId="14" fillId="10" borderId="36" xfId="0" applyFont="1" applyFill="1" applyBorder="1"/>
    <xf numFmtId="0" fontId="14" fillId="10" borderId="37" xfId="0" applyFont="1" applyFill="1" applyBorder="1"/>
    <xf numFmtId="166" fontId="14" fillId="10" borderId="37" xfId="0" applyNumberFormat="1" applyFont="1" applyFill="1" applyBorder="1"/>
    <xf numFmtId="166" fontId="14" fillId="10" borderId="38" xfId="0" applyNumberFormat="1" applyFont="1" applyFill="1" applyBorder="1"/>
    <xf numFmtId="0" fontId="14" fillId="8" borderId="0" xfId="0" applyFont="1" applyFill="1" applyAlignment="1">
      <alignment horizontal="center"/>
    </xf>
    <xf numFmtId="0" fontId="0" fillId="8" borderId="0" xfId="0" applyFill="1"/>
    <xf numFmtId="168" fontId="0" fillId="6" borderId="8" xfId="0" applyNumberFormat="1" applyFont="1" applyFill="1" applyBorder="1" applyAlignment="1">
      <alignment horizontal="center" vertical="center"/>
    </xf>
    <xf numFmtId="168" fontId="0" fillId="6" borderId="7" xfId="0" applyNumberFormat="1" applyFont="1" applyFill="1" applyBorder="1" applyAlignment="1">
      <alignment horizontal="center" vertical="center"/>
    </xf>
    <xf numFmtId="168" fontId="0" fillId="7" borderId="7" xfId="0" applyNumberFormat="1" applyFont="1" applyFill="1" applyBorder="1" applyAlignment="1">
      <alignment horizontal="center" vertical="center"/>
    </xf>
    <xf numFmtId="168" fontId="0" fillId="7" borderId="8" xfId="0" applyNumberFormat="1" applyFont="1" applyFill="1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0" fontId="0" fillId="4" borderId="0" xfId="0" applyFill="1"/>
    <xf numFmtId="0" fontId="16" fillId="5" borderId="39" xfId="0" applyFont="1" applyFill="1" applyBorder="1" applyAlignment="1">
      <alignment horizontal="center"/>
    </xf>
    <xf numFmtId="0" fontId="0" fillId="0" borderId="0" xfId="0" applyBorder="1"/>
    <xf numFmtId="0" fontId="10" fillId="5" borderId="0" xfId="0" applyFont="1" applyFill="1" applyBorder="1" applyAlignment="1">
      <alignment horizontal="center" vertical="center"/>
    </xf>
    <xf numFmtId="164" fontId="10" fillId="5" borderId="0" xfId="1" applyNumberFormat="1" applyFont="1" applyFill="1" applyBorder="1" applyAlignment="1">
      <alignment horizontal="center" vertical="center"/>
    </xf>
    <xf numFmtId="0" fontId="0" fillId="7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3" fontId="0" fillId="0" borderId="6" xfId="0" applyNumberFormat="1" applyBorder="1"/>
    <xf numFmtId="0" fontId="17" fillId="0" borderId="6" xfId="0" applyFont="1" applyBorder="1"/>
    <xf numFmtId="0" fontId="17" fillId="0" borderId="6" xfId="0" applyFont="1" applyFill="1" applyBorder="1"/>
    <xf numFmtId="0" fontId="0" fillId="0" borderId="0" xfId="0" applyAlignment="1">
      <alignment horizontal="center" vertical="center"/>
    </xf>
    <xf numFmtId="6" fontId="5" fillId="0" borderId="0" xfId="0" applyNumberFormat="1" applyFont="1" applyBorder="1" applyAlignment="1" applyProtection="1">
      <alignment horizontal="center" vertical="center"/>
      <protection locked="0"/>
    </xf>
    <xf numFmtId="164" fontId="5" fillId="0" borderId="0" xfId="1" applyNumberFormat="1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right"/>
      <protection locked="0"/>
    </xf>
    <xf numFmtId="0" fontId="3" fillId="4" borderId="1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/>
    </xf>
    <xf numFmtId="168" fontId="14" fillId="8" borderId="0" xfId="0" applyNumberFormat="1" applyFont="1" applyFill="1" applyAlignment="1">
      <alignment horizontal="center"/>
    </xf>
    <xf numFmtId="0" fontId="14" fillId="8" borderId="24" xfId="0" applyFont="1" applyFill="1" applyBorder="1" applyAlignment="1">
      <alignment horizontal="center"/>
    </xf>
    <xf numFmtId="0" fontId="14" fillId="8" borderId="27" xfId="0" applyFont="1" applyFill="1" applyBorder="1" applyAlignment="1">
      <alignment horizontal="center"/>
    </xf>
    <xf numFmtId="167" fontId="15" fillId="8" borderId="25" xfId="0" applyNumberFormat="1" applyFont="1" applyFill="1" applyBorder="1" applyAlignment="1">
      <alignment horizontal="center"/>
    </xf>
    <xf numFmtId="167" fontId="15" fillId="8" borderId="26" xfId="0" applyNumberFormat="1" applyFont="1" applyFill="1" applyBorder="1" applyAlignment="1">
      <alignment horizontal="center"/>
    </xf>
    <xf numFmtId="167" fontId="15" fillId="8" borderId="28" xfId="0" applyNumberFormat="1" applyFont="1" applyFill="1" applyBorder="1" applyAlignment="1">
      <alignment horizontal="center"/>
    </xf>
    <xf numFmtId="167" fontId="15" fillId="8" borderId="29" xfId="0" applyNumberFormat="1" applyFont="1" applyFill="1" applyBorder="1" applyAlignment="1">
      <alignment horizontal="center"/>
    </xf>
    <xf numFmtId="0" fontId="14" fillId="12" borderId="0" xfId="0" applyFont="1" applyFill="1" applyAlignment="1">
      <alignment horizontal="center"/>
    </xf>
    <xf numFmtId="166" fontId="14" fillId="12" borderId="0" xfId="0" applyNumberFormat="1" applyFont="1" applyFill="1" applyAlignment="1">
      <alignment horizontal="center"/>
    </xf>
    <xf numFmtId="0" fontId="14" fillId="8" borderId="30" xfId="0" applyFont="1" applyFill="1" applyBorder="1" applyAlignment="1">
      <alignment horizontal="center"/>
    </xf>
    <xf numFmtId="0" fontId="14" fillId="8" borderId="34" xfId="0" applyFont="1" applyFill="1" applyBorder="1" applyAlignment="1">
      <alignment horizontal="center"/>
    </xf>
    <xf numFmtId="0" fontId="12" fillId="11" borderId="11" xfId="0" applyFont="1" applyFill="1" applyBorder="1" applyAlignment="1">
      <alignment horizontal="center" vertical="center"/>
    </xf>
    <xf numFmtId="0" fontId="13" fillId="11" borderId="12" xfId="0" applyFont="1" applyFill="1" applyBorder="1" applyAlignment="1">
      <alignment horizontal="center" vertical="center"/>
    </xf>
    <xf numFmtId="0" fontId="13" fillId="11" borderId="13" xfId="0" applyFont="1" applyFill="1" applyBorder="1" applyAlignment="1">
      <alignment horizontal="center" vertical="center"/>
    </xf>
    <xf numFmtId="0" fontId="13" fillId="11" borderId="14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11" borderId="16" xfId="0" applyFont="1" applyFill="1" applyBorder="1" applyAlignment="1">
      <alignment horizontal="center" vertical="center"/>
    </xf>
    <xf numFmtId="165" fontId="14" fillId="9" borderId="17" xfId="0" applyNumberFormat="1" applyFont="1" applyFill="1" applyBorder="1" applyAlignment="1">
      <alignment horizontal="center" vertical="center"/>
    </xf>
    <xf numFmtId="165" fontId="14" fillId="9" borderId="21" xfId="0" applyNumberFormat="1" applyFont="1" applyFill="1" applyBorder="1" applyAlignment="1">
      <alignment horizontal="center" vertical="center"/>
    </xf>
    <xf numFmtId="165" fontId="14" fillId="9" borderId="18" xfId="0" applyNumberFormat="1" applyFont="1" applyFill="1" applyBorder="1" applyAlignment="1">
      <alignment horizontal="center"/>
    </xf>
    <xf numFmtId="0" fontId="14" fillId="9" borderId="19" xfId="0" applyFont="1" applyFill="1" applyBorder="1" applyAlignment="1">
      <alignment horizontal="center"/>
    </xf>
    <xf numFmtId="0" fontId="14" fillId="9" borderId="22" xfId="0" applyFont="1" applyFill="1" applyBorder="1" applyAlignment="1">
      <alignment horizontal="center"/>
    </xf>
    <xf numFmtId="0" fontId="14" fillId="9" borderId="23" xfId="0" applyFont="1" applyFill="1" applyBorder="1" applyAlignment="1">
      <alignment horizontal="center"/>
    </xf>
    <xf numFmtId="0" fontId="14" fillId="12" borderId="20" xfId="0" applyFont="1" applyFill="1" applyBorder="1" applyAlignment="1">
      <alignment horizontal="center"/>
    </xf>
    <xf numFmtId="0" fontId="11" fillId="0" borderId="6" xfId="0" applyFont="1" applyBorder="1" applyAlignment="1">
      <alignment horizontal="center"/>
    </xf>
  </cellXfs>
  <cellStyles count="4">
    <cellStyle name="Currency [0]" xfId="1" builtinId="7"/>
    <cellStyle name="Normal" xfId="0" builtinId="0"/>
    <cellStyle name="Normal 2" xfId="2"/>
    <cellStyle name="Normal 3" xfId="3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numFmt numFmtId="164" formatCode="_([$Rp-421]* #,##0.00_);_([$Rp-421]* \(#,##0.00\);_([$Rp-421]* &quot;-&quot;??_);_(@_)"/>
      <fill>
        <patternFill patternType="solid">
          <fgColor indexed="64"/>
          <bgColor theme="2" tint="-0.749992370372631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relative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right" vertical="bottom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_([$Rp-421]* #,##0.00_);_([$Rp-421]* \(#,##0.00\);_([$Rp-421]* &quot;-&quot;??_);_(@_)"/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0" formatCode="&quot;Rp&quot;#,##0_);[Red]\(&quot;Rp&quot;#,##0\)"/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alignment horizontal="center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</dxfs>
  <tableStyles count="2" defaultTableStyle="TableStyleMedium9" defaultPivotStyle="PivotStyleLight16">
    <tableStyle name="Table Style 1" pivot="0" count="0"/>
    <tableStyle name="Table Style 2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11935"/>
  <ax:ocxPr ax:name="Caption" ax:value="MASUK"/>
  <ax:ocxPr ax:name="Size" ax:value="3678;1111"/>
  <ax:ocxPr ax:name="FontName" ax:value="System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0511"/>
  <ax:ocxPr ax:name="Caption" ax:value="Menu Utama"/>
  <ax:ocxPr ax:name="Size" ax:value="3969;1508"/>
  <ax:ocxPr ax:name="FontName" ax:value="Arial Narrow"/>
  <ax:ocxPr ax:name="FontHeight" ax:value="360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61024"/>
  <ax:ocxPr ax:name="Caption" ax:value="PRINT"/>
  <ax:ocxPr ax:name="Size" ax:value="2408;1296"/>
  <ax:ocxPr ax:name="FontName" ax:value="Arial Narrow"/>
  <ax:ocxPr ax:name="FontEffects" ax:value="1073741825"/>
  <ax:ocxPr ax:name="FontHeight" ax:value="285"/>
  <ax:ocxPr ax:name="FontCharSet" ax:value="0"/>
  <ax:ocxPr ax:name="FontPitchAndFamily" ax:value="2"/>
  <ax:ocxPr ax:name="ParagraphAlign" ax:value="3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et"/>
  <ax:ocxPr ax:name="Size" ax:value="2461;74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18</xdr:col>
      <xdr:colOff>38100</xdr:colOff>
      <xdr:row>48</xdr:row>
      <xdr:rowOff>19050</xdr:rowOff>
    </xdr:to>
    <xdr:pic>
      <xdr:nvPicPr>
        <xdr:cNvPr id="17" name="Picture 16" descr="abstract-orange-background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9525"/>
          <a:ext cx="12192000" cy="9753600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0</xdr:rowOff>
    </xdr:from>
    <xdr:to>
      <xdr:col>19</xdr:col>
      <xdr:colOff>376238</xdr:colOff>
      <xdr:row>25</xdr:row>
      <xdr:rowOff>142874</xdr:rowOff>
    </xdr:to>
    <xdr:pic>
      <xdr:nvPicPr>
        <xdr:cNvPr id="18" name="Picture 17" descr="7346705-Shiny-colorful-boxes-Abstract-background-Stock-Photo-graphic-design-background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rot="10800000" flipH="1">
          <a:off x="7496175" y="0"/>
          <a:ext cx="5643563" cy="528637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171450</xdr:colOff>
      <xdr:row>0</xdr:row>
      <xdr:rowOff>0</xdr:rowOff>
    </xdr:from>
    <xdr:to>
      <xdr:col>1</xdr:col>
      <xdr:colOff>266700</xdr:colOff>
      <xdr:row>6</xdr:row>
      <xdr:rowOff>9525</xdr:rowOff>
    </xdr:to>
    <xdr:pic>
      <xdr:nvPicPr>
        <xdr:cNvPr id="19" name="Picture 18" descr="polban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71450" y="0"/>
          <a:ext cx="1162050" cy="1352550"/>
        </a:xfrm>
        <a:prstGeom prst="rect">
          <a:avLst/>
        </a:prstGeom>
      </xdr:spPr>
    </xdr:pic>
    <xdr:clientData/>
  </xdr:twoCellAnchor>
  <xdr:twoCellAnchor editAs="oneCell">
    <xdr:from>
      <xdr:col>1</xdr:col>
      <xdr:colOff>923926</xdr:colOff>
      <xdr:row>0</xdr:row>
      <xdr:rowOff>209551</xdr:rowOff>
    </xdr:from>
    <xdr:to>
      <xdr:col>9</xdr:col>
      <xdr:colOff>447676</xdr:colOff>
      <xdr:row>20</xdr:row>
      <xdr:rowOff>9526</xdr:rowOff>
    </xdr:to>
    <xdr:pic>
      <xdr:nvPicPr>
        <xdr:cNvPr id="20" name="Picture 19" descr="toko.pn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90726" y="209551"/>
          <a:ext cx="5124450" cy="394335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545704</xdr:colOff>
      <xdr:row>0</xdr:row>
      <xdr:rowOff>148828</xdr:rowOff>
    </xdr:from>
    <xdr:to>
      <xdr:col>4</xdr:col>
      <xdr:colOff>892968</xdr:colOff>
      <xdr:row>0</xdr:row>
      <xdr:rowOff>1250156</xdr:rowOff>
    </xdr:to>
    <xdr:sp macro="" textlink="">
      <xdr:nvSpPr>
        <xdr:cNvPr id="6" name="Rounded Rectangle 5"/>
        <xdr:cNvSpPr/>
      </xdr:nvSpPr>
      <xdr:spPr>
        <a:xfrm>
          <a:off x="2103438" y="148828"/>
          <a:ext cx="6359921" cy="1101328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>
              <a:latin typeface="Arial Rounded MT Bold" pitchFamily="34" charset="0"/>
            </a:rPr>
            <a:t>TOKO PODO TEKO</a:t>
          </a:r>
          <a:endParaRPr lang="id-ID" sz="2000">
            <a:latin typeface="Arial Rounded MT Bold" pitchFamily="34" charset="0"/>
          </a:endParaRPr>
        </a:p>
      </xdr:txBody>
    </xdr:sp>
    <xdr:clientData/>
  </xdr:twoCellAnchor>
  <xdr:twoCellAnchor editAs="oneCell">
    <xdr:from>
      <xdr:col>1</xdr:col>
      <xdr:colOff>277812</xdr:colOff>
      <xdr:row>0</xdr:row>
      <xdr:rowOff>0</xdr:rowOff>
    </xdr:from>
    <xdr:to>
      <xdr:col>2</xdr:col>
      <xdr:colOff>138911</xdr:colOff>
      <xdr:row>0</xdr:row>
      <xdr:rowOff>1309687</xdr:rowOff>
    </xdr:to>
    <xdr:pic>
      <xdr:nvPicPr>
        <xdr:cNvPr id="3" name="Picture 2" descr="polba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7812" y="0"/>
          <a:ext cx="1012031" cy="130968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k%20finish%20(Fix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oko"/>
      <sheetName val="DB2"/>
      <sheetName val="Sheet1"/>
      <sheetName val="Laporan"/>
      <sheetName val="App brng"/>
      <sheetName val="Lapor"/>
      <sheetName val="Sheet3"/>
      <sheetName val="Sheet4"/>
      <sheetName val="app srvis"/>
      <sheetName val="kasir"/>
      <sheetName val="data"/>
      <sheetName val="Service"/>
      <sheetName val="Sheet2"/>
    </sheetNames>
    <sheetDataSet>
      <sheetData sheetId="0">
        <row r="8">
          <cell r="B8">
            <v>1</v>
          </cell>
          <cell r="C8" t="str">
            <v>MAGIC COM</v>
          </cell>
          <cell r="D8" t="str">
            <v>SANKEN</v>
          </cell>
          <cell r="E8">
            <v>3</v>
          </cell>
          <cell r="F8" t="str">
            <v>BARU</v>
          </cell>
          <cell r="G8">
            <v>550000</v>
          </cell>
        </row>
        <row r="9">
          <cell r="B9" t="str">
            <v>SLE-241H-DJ</v>
          </cell>
          <cell r="C9" t="str">
            <v>MESIN CUCI</v>
          </cell>
          <cell r="D9" t="str">
            <v>SANKEN</v>
          </cell>
          <cell r="E9">
            <v>1</v>
          </cell>
          <cell r="F9" t="str">
            <v>BARU</v>
          </cell>
          <cell r="G9">
            <v>1950000</v>
          </cell>
        </row>
        <row r="10">
          <cell r="B10" t="str">
            <v>TW-870</v>
          </cell>
          <cell r="C10" t="str">
            <v>MESIN CUCI</v>
          </cell>
          <cell r="D10" t="str">
            <v>SANKEN</v>
          </cell>
          <cell r="E10">
            <v>2</v>
          </cell>
          <cell r="F10" t="str">
            <v>BARU</v>
          </cell>
          <cell r="G10">
            <v>1900000</v>
          </cell>
          <cell r="H10" t="str">
            <v/>
          </cell>
        </row>
        <row r="11">
          <cell r="B11" t="str">
            <v>3308N</v>
          </cell>
          <cell r="C11" t="str">
            <v>DVD PLAYER</v>
          </cell>
          <cell r="D11" t="str">
            <v>SANTIKA</v>
          </cell>
          <cell r="E11">
            <v>2</v>
          </cell>
          <cell r="F11" t="str">
            <v>BARU</v>
          </cell>
          <cell r="G11">
            <v>225000</v>
          </cell>
        </row>
        <row r="12">
          <cell r="B12" t="str">
            <v>AC 0,5 PK</v>
          </cell>
          <cell r="C12" t="str">
            <v>AC</v>
          </cell>
          <cell r="D12" t="str">
            <v>SANYO</v>
          </cell>
          <cell r="E12">
            <v>2</v>
          </cell>
          <cell r="F12" t="str">
            <v>BARU</v>
          </cell>
          <cell r="G12">
            <v>2950000</v>
          </cell>
        </row>
        <row r="13">
          <cell r="B13" t="str">
            <v>SRD00R1</v>
          </cell>
          <cell r="C13" t="str">
            <v>DVD RW EKSTERNAL</v>
          </cell>
          <cell r="D13" t="str">
            <v>SEAGATE</v>
          </cell>
          <cell r="E13">
            <v>2</v>
          </cell>
          <cell r="F13" t="str">
            <v>BARU</v>
          </cell>
          <cell r="G13">
            <v>720000</v>
          </cell>
        </row>
        <row r="14">
          <cell r="B14" t="str">
            <v>HFN 1050</v>
          </cell>
          <cell r="C14" t="str">
            <v>KIPAS ANGIN</v>
          </cell>
          <cell r="D14" t="str">
            <v>KIPAS ANGIN</v>
          </cell>
          <cell r="E14" t="str">
            <v>SEKAIn</v>
          </cell>
          <cell r="F14">
            <v>7</v>
          </cell>
          <cell r="G14" t="str">
            <v>BARU</v>
          </cell>
        </row>
        <row r="15">
          <cell r="B15" t="str">
            <v>HFN 1210</v>
          </cell>
          <cell r="C15" t="str">
            <v>KIPAS ANGIN</v>
          </cell>
          <cell r="D15" t="str">
            <v>SEKAI</v>
          </cell>
          <cell r="E15">
            <v>4</v>
          </cell>
          <cell r="F15" t="str">
            <v>BARU</v>
          </cell>
          <cell r="G15">
            <v>300000</v>
          </cell>
        </row>
        <row r="16">
          <cell r="B16" t="str">
            <v>HFN 950</v>
          </cell>
          <cell r="C16" t="str">
            <v>KIPAS ANGIN</v>
          </cell>
          <cell r="D16" t="str">
            <v>SEKAI</v>
          </cell>
          <cell r="E16">
            <v>9</v>
          </cell>
          <cell r="F16" t="str">
            <v>BARU</v>
          </cell>
          <cell r="G16">
            <v>180000</v>
          </cell>
        </row>
        <row r="17">
          <cell r="B17" t="str">
            <v>HFN-650</v>
          </cell>
          <cell r="C17" t="str">
            <v>KIPAS ANGIN</v>
          </cell>
          <cell r="D17" t="str">
            <v>SEKAI</v>
          </cell>
          <cell r="E17">
            <v>11</v>
          </cell>
          <cell r="F17" t="str">
            <v>BARU</v>
          </cell>
          <cell r="G17">
            <v>135000</v>
          </cell>
        </row>
        <row r="18">
          <cell r="B18" t="str">
            <v>IWF-2639</v>
          </cell>
          <cell r="C18" t="str">
            <v>KIPAS ANGIN</v>
          </cell>
          <cell r="D18" t="str">
            <v>SEKAI</v>
          </cell>
          <cell r="E18">
            <v>4</v>
          </cell>
          <cell r="F18" t="str">
            <v>BARU</v>
          </cell>
          <cell r="G18">
            <v>975000</v>
          </cell>
        </row>
        <row r="19">
          <cell r="B19" t="str">
            <v>MVF 1091</v>
          </cell>
          <cell r="C19" t="str">
            <v>KIPAS ANGIN</v>
          </cell>
          <cell r="D19" t="str">
            <v>SEKAI</v>
          </cell>
          <cell r="E19">
            <v>3</v>
          </cell>
          <cell r="F19" t="str">
            <v>BARU</v>
          </cell>
          <cell r="G19">
            <v>165000</v>
          </cell>
        </row>
        <row r="20">
          <cell r="B20" t="str">
            <v>MVF 893</v>
          </cell>
          <cell r="C20" t="str">
            <v>KIPAS ANGIN</v>
          </cell>
          <cell r="D20" t="str">
            <v>SEKAI</v>
          </cell>
          <cell r="E20">
            <v>2</v>
          </cell>
          <cell r="F20" t="str">
            <v>BARU</v>
          </cell>
          <cell r="G20">
            <v>150000</v>
          </cell>
        </row>
        <row r="21">
          <cell r="B21" t="str">
            <v>Kn-7124</v>
          </cell>
          <cell r="C21" t="str">
            <v>emergency</v>
          </cell>
          <cell r="D21" t="str">
            <v>Lampu Emergency</v>
          </cell>
          <cell r="E21" t="str">
            <v>kawachi</v>
          </cell>
          <cell r="F21">
            <v>2</v>
          </cell>
          <cell r="G21" t="str">
            <v>BARU</v>
          </cell>
        </row>
        <row r="22">
          <cell r="B22" t="str">
            <v>LCS-THP</v>
          </cell>
          <cell r="C22" t="str">
            <v>CYBERSHORT</v>
          </cell>
          <cell r="D22" t="str">
            <v>SONY</v>
          </cell>
          <cell r="E22">
            <v>1</v>
          </cell>
          <cell r="F22" t="str">
            <v>BARU</v>
          </cell>
          <cell r="G22">
            <v>80000</v>
          </cell>
        </row>
        <row r="23">
          <cell r="B23" t="str">
            <v>XA-203</v>
          </cell>
          <cell r="C23" t="str">
            <v>CHARGER UNIVERSAL</v>
          </cell>
          <cell r="D23" t="str">
            <v>X TECH</v>
          </cell>
          <cell r="E23">
            <v>1</v>
          </cell>
          <cell r="F23" t="str">
            <v>BARU</v>
          </cell>
          <cell r="G23">
            <v>85000</v>
          </cell>
        </row>
        <row r="24">
          <cell r="B24" t="str">
            <v>HP2204B</v>
          </cell>
          <cell r="C24" t="str">
            <v>-</v>
          </cell>
          <cell r="D24" t="str">
            <v>lampu fitting remote</v>
          </cell>
          <cell r="E24">
            <v>1</v>
          </cell>
          <cell r="F24" t="str">
            <v>BARU</v>
          </cell>
          <cell r="G24" t="str">
            <v>Rp80.000</v>
          </cell>
        </row>
        <row r="25">
          <cell r="B25" t="str">
            <v>M-9906</v>
          </cell>
          <cell r="C25" t="str">
            <v>lampu emergency</v>
          </cell>
          <cell r="D25" t="str">
            <v>expo n 2010</v>
          </cell>
          <cell r="E25">
            <v>1</v>
          </cell>
          <cell r="F25" t="str">
            <v>BARU</v>
          </cell>
          <cell r="G25" t="str">
            <v>Rp55.000</v>
          </cell>
        </row>
        <row r="26">
          <cell r="B26" t="str">
            <v>MA-1047</v>
          </cell>
          <cell r="C26" t="str">
            <v>senter kepala</v>
          </cell>
          <cell r="D26" t="str">
            <v>matsunchi</v>
          </cell>
          <cell r="E26">
            <v>2</v>
          </cell>
          <cell r="F26" t="str">
            <v>BARU</v>
          </cell>
          <cell r="G26" t="str">
            <v>Rp65.000</v>
          </cell>
        </row>
        <row r="27">
          <cell r="B27" t="str">
            <v>XA-203</v>
          </cell>
          <cell r="C27" t="str">
            <v>CHARGER UNIVERSAL</v>
          </cell>
          <cell r="D27" t="str">
            <v>X TECH</v>
          </cell>
          <cell r="E27">
            <v>1</v>
          </cell>
          <cell r="F27" t="str">
            <v>BARU</v>
          </cell>
          <cell r="G27">
            <v>85000</v>
          </cell>
        </row>
        <row r="28">
          <cell r="B28" t="str">
            <v>F-100</v>
          </cell>
          <cell r="C28" t="str">
            <v>FM radio</v>
          </cell>
          <cell r="D28" t="str">
            <v>internasional</v>
          </cell>
          <cell r="E28">
            <v>1</v>
          </cell>
          <cell r="F28" t="str">
            <v>BARU</v>
          </cell>
          <cell r="G28">
            <v>125000</v>
          </cell>
        </row>
        <row r="29">
          <cell r="B29" t="str">
            <v>F-3850</v>
          </cell>
          <cell r="C29" t="str">
            <v>portable</v>
          </cell>
          <cell r="D29" t="str">
            <v>internasional</v>
          </cell>
          <cell r="E29">
            <v>1</v>
          </cell>
          <cell r="F29" t="str">
            <v>BARU</v>
          </cell>
          <cell r="G29" t="str">
            <v>Rp125.000</v>
          </cell>
        </row>
        <row r="30">
          <cell r="B30" t="str">
            <v>F-18</v>
          </cell>
          <cell r="C30" t="str">
            <v>portable radio</v>
          </cell>
          <cell r="D30" t="str">
            <v>internasional</v>
          </cell>
          <cell r="E30">
            <v>2</v>
          </cell>
          <cell r="F30" t="str">
            <v>BARU</v>
          </cell>
          <cell r="G30" t="str">
            <v>Rp125.000</v>
          </cell>
        </row>
        <row r="31">
          <cell r="B31" t="str">
            <v>V-168REC</v>
          </cell>
          <cell r="C31" t="str">
            <v>portable radio</v>
          </cell>
          <cell r="D31" t="str">
            <v>VDR</v>
          </cell>
          <cell r="E31">
            <v>1</v>
          </cell>
          <cell r="F31" t="str">
            <v>BARU</v>
          </cell>
          <cell r="G31" t="str">
            <v>Rp60.000</v>
          </cell>
        </row>
        <row r="32">
          <cell r="B32" t="str">
            <v>CT-212J</v>
          </cell>
          <cell r="C32" t="str">
            <v>calculator</v>
          </cell>
          <cell r="D32" t="str">
            <v>citizen</v>
          </cell>
          <cell r="E32">
            <v>3</v>
          </cell>
          <cell r="F32" t="str">
            <v>BARU</v>
          </cell>
          <cell r="G32" t="str">
            <v>Rp45.000</v>
          </cell>
        </row>
        <row r="33">
          <cell r="B33" t="str">
            <v>CT-618L</v>
          </cell>
          <cell r="C33" t="str">
            <v>calculator</v>
          </cell>
          <cell r="D33" t="str">
            <v>citizen</v>
          </cell>
          <cell r="E33">
            <v>1</v>
          </cell>
          <cell r="F33" t="str">
            <v>BARU</v>
          </cell>
          <cell r="G33" t="str">
            <v>Rp80.000</v>
          </cell>
        </row>
        <row r="34">
          <cell r="B34" t="str">
            <v>CT-500C</v>
          </cell>
          <cell r="C34" t="str">
            <v>calculator</v>
          </cell>
          <cell r="D34" t="str">
            <v>citizen</v>
          </cell>
          <cell r="E34">
            <v>2</v>
          </cell>
          <cell r="F34" t="str">
            <v>BARU</v>
          </cell>
          <cell r="G34" t="str">
            <v>Rp55.000</v>
          </cell>
        </row>
        <row r="35">
          <cell r="B35" t="str">
            <v>R-1058</v>
          </cell>
          <cell r="C35" t="str">
            <v>portable</v>
          </cell>
          <cell r="D35" t="str">
            <v>asatron</v>
          </cell>
          <cell r="E35">
            <v>2</v>
          </cell>
          <cell r="F35" t="str">
            <v>BARU</v>
          </cell>
          <cell r="G35" t="str">
            <v>Rp25.000</v>
          </cell>
        </row>
        <row r="36">
          <cell r="B36" t="str">
            <v>PR-167</v>
          </cell>
          <cell r="C36" t="str">
            <v>-</v>
          </cell>
          <cell r="D36" t="str">
            <v>sonatec</v>
          </cell>
          <cell r="E36">
            <v>2</v>
          </cell>
          <cell r="F36" t="str">
            <v>BARU</v>
          </cell>
          <cell r="G36" t="str">
            <v>Rp25.000</v>
          </cell>
        </row>
        <row r="37">
          <cell r="B37" t="str">
            <v>TK-2028</v>
          </cell>
          <cell r="C37" t="str">
            <v>detector</v>
          </cell>
          <cell r="D37" t="str">
            <v>star</v>
          </cell>
          <cell r="E37">
            <v>1</v>
          </cell>
          <cell r="F37" t="str">
            <v>BARU</v>
          </cell>
          <cell r="G37" t="str">
            <v>Rp125.000</v>
          </cell>
        </row>
        <row r="38">
          <cell r="B38" t="str">
            <v>COS-118</v>
          </cell>
          <cell r="C38" t="str">
            <v>-</v>
          </cell>
          <cell r="D38" t="str">
            <v>cosco</v>
          </cell>
          <cell r="E38">
            <v>1</v>
          </cell>
          <cell r="F38" t="str">
            <v>BARU</v>
          </cell>
          <cell r="G38">
            <v>95000</v>
          </cell>
        </row>
        <row r="39">
          <cell r="B39" t="str">
            <v>HP-024</v>
          </cell>
          <cell r="C39" t="str">
            <v>-</v>
          </cell>
          <cell r="D39" t="str">
            <v>emergency light</v>
          </cell>
          <cell r="E39">
            <v>1</v>
          </cell>
          <cell r="F39" t="str">
            <v>BARU</v>
          </cell>
          <cell r="G39" t="str">
            <v>Rp85.000</v>
          </cell>
        </row>
        <row r="40">
          <cell r="B40" t="str">
            <v>AC 0,5 PK</v>
          </cell>
          <cell r="C40" t="str">
            <v>AC</v>
          </cell>
          <cell r="D40" t="str">
            <v>SANYO</v>
          </cell>
          <cell r="E40">
            <v>1</v>
          </cell>
          <cell r="F40" t="str">
            <v>BARU</v>
          </cell>
          <cell r="G40">
            <v>2950000</v>
          </cell>
        </row>
        <row r="41">
          <cell r="B41" t="str">
            <v>SRD00R1</v>
          </cell>
          <cell r="C41" t="str">
            <v>DVD RW EKSTERNAL</v>
          </cell>
          <cell r="D41" t="str">
            <v>SEAGATE</v>
          </cell>
          <cell r="E41">
            <v>2</v>
          </cell>
          <cell r="F41" t="str">
            <v>BARU</v>
          </cell>
          <cell r="G41">
            <v>720000</v>
          </cell>
        </row>
        <row r="42">
          <cell r="B42" t="str">
            <v>HFN 1050</v>
          </cell>
          <cell r="C42" t="str">
            <v>KIPAS ANGIN</v>
          </cell>
          <cell r="D42" t="str">
            <v>SEKAI</v>
          </cell>
          <cell r="E42">
            <v>7</v>
          </cell>
          <cell r="F42" t="str">
            <v>BARU</v>
          </cell>
          <cell r="G42">
            <v>195000</v>
          </cell>
        </row>
        <row r="43">
          <cell r="B43" t="str">
            <v>HFN 1210</v>
          </cell>
          <cell r="C43" t="str">
            <v>KIPAS ANGIN</v>
          </cell>
          <cell r="D43" t="str">
            <v>SEKAI</v>
          </cell>
          <cell r="E43">
            <v>4</v>
          </cell>
          <cell r="F43" t="str">
            <v>BARU</v>
          </cell>
          <cell r="G43">
            <v>300000</v>
          </cell>
        </row>
        <row r="44">
          <cell r="B44" t="str">
            <v>HFN 950</v>
          </cell>
          <cell r="C44" t="str">
            <v>KIPAS ANGIN</v>
          </cell>
          <cell r="D44" t="str">
            <v>SEKAI</v>
          </cell>
          <cell r="E44">
            <v>9</v>
          </cell>
          <cell r="F44" t="str">
            <v>BARU</v>
          </cell>
          <cell r="G44">
            <v>180000</v>
          </cell>
        </row>
        <row r="45">
          <cell r="B45" t="str">
            <v>HFN-650</v>
          </cell>
          <cell r="C45" t="str">
            <v>KIPAS ANGIN</v>
          </cell>
          <cell r="D45" t="str">
            <v>SEKAI</v>
          </cell>
          <cell r="E45">
            <v>11</v>
          </cell>
          <cell r="F45" t="str">
            <v>BARU</v>
          </cell>
          <cell r="G45">
            <v>135000</v>
          </cell>
        </row>
        <row r="46">
          <cell r="B46" t="str">
            <v>IWF-2639</v>
          </cell>
          <cell r="C46" t="str">
            <v>KIPAS ANGIN</v>
          </cell>
          <cell r="D46" t="str">
            <v>SEKAI</v>
          </cell>
          <cell r="E46">
            <v>4</v>
          </cell>
          <cell r="F46" t="str">
            <v>BARU</v>
          </cell>
          <cell r="G46">
            <v>975000</v>
          </cell>
        </row>
        <row r="47">
          <cell r="B47" t="str">
            <v>MVF 1091</v>
          </cell>
          <cell r="C47" t="str">
            <v>KIPAS ANGIN</v>
          </cell>
          <cell r="D47" t="str">
            <v>SEKAI</v>
          </cell>
          <cell r="E47">
            <v>3</v>
          </cell>
          <cell r="F47" t="str">
            <v>BARU</v>
          </cell>
          <cell r="G47">
            <v>165000</v>
          </cell>
        </row>
        <row r="48">
          <cell r="B48" t="str">
            <v>MVF 893</v>
          </cell>
          <cell r="C48" t="str">
            <v>KIPAS ANGIN</v>
          </cell>
          <cell r="D48" t="str">
            <v>SEKAI</v>
          </cell>
          <cell r="E48">
            <v>2</v>
          </cell>
          <cell r="F48" t="str">
            <v>BARU</v>
          </cell>
          <cell r="G48">
            <v>150000</v>
          </cell>
        </row>
        <row r="49">
          <cell r="B49" t="str">
            <v>165F</v>
          </cell>
          <cell r="C49" t="str">
            <v>LEMARI ES</v>
          </cell>
          <cell r="D49" t="str">
            <v>SHARP</v>
          </cell>
          <cell r="E49">
            <v>4</v>
          </cell>
          <cell r="F49" t="str">
            <v>BARU</v>
          </cell>
          <cell r="G49">
            <v>1600000</v>
          </cell>
        </row>
        <row r="50">
          <cell r="B50" t="str">
            <v>P16P</v>
          </cell>
          <cell r="C50" t="str">
            <v>DISPENSER</v>
          </cell>
          <cell r="D50" t="str">
            <v>MIYOSHI</v>
          </cell>
          <cell r="E50">
            <v>6</v>
          </cell>
          <cell r="F50" t="str">
            <v>BARU</v>
          </cell>
          <cell r="G50">
            <v>135000</v>
          </cell>
        </row>
        <row r="51">
          <cell r="B51" t="str">
            <v>27MBPS</v>
          </cell>
          <cell r="C51" t="str">
            <v>MODEM</v>
          </cell>
          <cell r="D51" t="str">
            <v>MOBINIC</v>
          </cell>
          <cell r="E51">
            <v>9</v>
          </cell>
          <cell r="F51" t="str">
            <v>BARU</v>
          </cell>
          <cell r="G51">
            <v>240000</v>
          </cell>
        </row>
        <row r="52">
          <cell r="B52" t="str">
            <v>E388</v>
          </cell>
          <cell r="C52" t="str">
            <v>MODEM</v>
          </cell>
          <cell r="D52" t="str">
            <v>MODEM CYBORG</v>
          </cell>
          <cell r="E52">
            <v>5</v>
          </cell>
          <cell r="F52" t="str">
            <v>BARU</v>
          </cell>
          <cell r="G52">
            <v>385000</v>
          </cell>
        </row>
        <row r="53">
          <cell r="B53" t="str">
            <v>RE-87</v>
          </cell>
          <cell r="C53" t="str">
            <v>MOUSE</v>
          </cell>
          <cell r="D53" t="str">
            <v xml:space="preserve">M-TECH </v>
          </cell>
          <cell r="E53">
            <v>7</v>
          </cell>
          <cell r="F53" t="str">
            <v>BARU</v>
          </cell>
          <cell r="G53">
            <v>44000</v>
          </cell>
        </row>
        <row r="54">
          <cell r="B54" t="str">
            <v>SF-38</v>
          </cell>
          <cell r="C54" t="str">
            <v>DVD PLAYER</v>
          </cell>
          <cell r="D54" t="str">
            <v>NAGOYA</v>
          </cell>
          <cell r="E54">
            <v>2</v>
          </cell>
          <cell r="F54" t="str">
            <v>BARU</v>
          </cell>
          <cell r="G54">
            <v>225000</v>
          </cell>
        </row>
        <row r="55">
          <cell r="B55" t="str">
            <v>HM-705</v>
          </cell>
          <cell r="C55" t="str">
            <v>HAND MIXE</v>
          </cell>
          <cell r="D55" t="str">
            <v>NELSON HAND MIXER</v>
          </cell>
          <cell r="E55">
            <v>8</v>
          </cell>
          <cell r="F55" t="str">
            <v>BARU</v>
          </cell>
          <cell r="G55">
            <v>165000</v>
          </cell>
        </row>
        <row r="56">
          <cell r="B56" t="str">
            <v>PALAS</v>
          </cell>
          <cell r="C56" t="str">
            <v>SKRING</v>
          </cell>
          <cell r="D56" t="str">
            <v>NEW PALLAS</v>
          </cell>
          <cell r="E56">
            <v>15</v>
          </cell>
          <cell r="F56" t="str">
            <v>BARU</v>
          </cell>
          <cell r="G56">
            <v>15000</v>
          </cell>
        </row>
        <row r="57">
          <cell r="B57" t="str">
            <v>4A</v>
          </cell>
          <cell r="C57" t="str">
            <v>SKRING</v>
          </cell>
          <cell r="D57" t="str">
            <v>NEW PALLAS</v>
          </cell>
          <cell r="E57">
            <v>12</v>
          </cell>
          <cell r="F57" t="str">
            <v>BARU</v>
          </cell>
          <cell r="G57">
            <v>15000</v>
          </cell>
        </row>
        <row r="58">
          <cell r="B58" t="str">
            <v>REMOTE</v>
          </cell>
          <cell r="C58" t="str">
            <v>REMOT</v>
          </cell>
          <cell r="D58" t="str">
            <v>NEWSAT DVB REMOTE</v>
          </cell>
          <cell r="E58">
            <v>5</v>
          </cell>
          <cell r="F58" t="str">
            <v>BARU</v>
          </cell>
          <cell r="G58">
            <v>40000</v>
          </cell>
        </row>
        <row r="59">
          <cell r="B59" t="str">
            <v>BOSTER REMOTE</v>
          </cell>
          <cell r="C59" t="str">
            <v>BOSTER</v>
          </cell>
          <cell r="D59" t="str">
            <v>NICO BOSTER REMOT</v>
          </cell>
          <cell r="E59">
            <v>4</v>
          </cell>
          <cell r="F59" t="str">
            <v>BARU</v>
          </cell>
          <cell r="G59">
            <v>50000</v>
          </cell>
        </row>
        <row r="60">
          <cell r="B60" t="str">
            <v>NC-306</v>
          </cell>
          <cell r="C60" t="str">
            <v>DVD PLAYER</v>
          </cell>
          <cell r="D60" t="str">
            <v>NICO</v>
          </cell>
          <cell r="E60">
            <v>3</v>
          </cell>
          <cell r="F60" t="str">
            <v>BARU</v>
          </cell>
          <cell r="G60">
            <v>190000</v>
          </cell>
        </row>
        <row r="61">
          <cell r="B61" t="str">
            <v>DISPENSER NIKO</v>
          </cell>
          <cell r="C61" t="str">
            <v>DISPENSER</v>
          </cell>
          <cell r="D61" t="str">
            <v>NIKO</v>
          </cell>
          <cell r="E61">
            <v>10</v>
          </cell>
          <cell r="F61" t="str">
            <v>BARU</v>
          </cell>
          <cell r="G61">
            <v>70000</v>
          </cell>
        </row>
        <row r="62">
          <cell r="B62" t="str">
            <v>NK 8 W</v>
          </cell>
          <cell r="C62" t="str">
            <v>ANTENA</v>
          </cell>
          <cell r="D62" t="str">
            <v>NIKO DISPENSER</v>
          </cell>
          <cell r="E62">
            <v>12</v>
          </cell>
          <cell r="F62" t="str">
            <v>BARU</v>
          </cell>
          <cell r="G62">
            <v>110000</v>
          </cell>
        </row>
        <row r="63">
          <cell r="B63" t="str">
            <v>NC-850 C</v>
          </cell>
          <cell r="C63" t="str">
            <v>ANTENA</v>
          </cell>
          <cell r="D63" t="str">
            <v>NIKO</v>
          </cell>
          <cell r="E63">
            <v>2</v>
          </cell>
          <cell r="F63" t="str">
            <v>BARU</v>
          </cell>
          <cell r="G63">
            <v>100000</v>
          </cell>
        </row>
        <row r="64">
          <cell r="B64" t="str">
            <v>NK-16NL</v>
          </cell>
          <cell r="C64" t="str">
            <v>KIPAS ANGIN</v>
          </cell>
          <cell r="D64" t="str">
            <v>NIKO</v>
          </cell>
          <cell r="E64">
            <v>7</v>
          </cell>
          <cell r="F64" t="str">
            <v>BARU</v>
          </cell>
          <cell r="G64">
            <v>135000</v>
          </cell>
        </row>
        <row r="65">
          <cell r="B65" t="str">
            <v>NK-16NLR</v>
          </cell>
          <cell r="C65" t="str">
            <v>KIPAS ANGIN</v>
          </cell>
          <cell r="D65" t="str">
            <v>NIKO</v>
          </cell>
          <cell r="E65">
            <v>0</v>
          </cell>
          <cell r="F65" t="str">
            <v>BARU</v>
          </cell>
          <cell r="G65">
            <v>155000</v>
          </cell>
        </row>
        <row r="66">
          <cell r="B66" t="str">
            <v>NK-21N07PFUS</v>
          </cell>
          <cell r="C66" t="str">
            <v>CRT</v>
          </cell>
          <cell r="D66" t="str">
            <v>NIKO</v>
          </cell>
          <cell r="E66">
            <v>2</v>
          </cell>
          <cell r="F66" t="str">
            <v>BARU</v>
          </cell>
          <cell r="G66">
            <v>1050000</v>
          </cell>
        </row>
        <row r="67">
          <cell r="B67" t="str">
            <v>NK-21N10PV</v>
          </cell>
          <cell r="C67" t="str">
            <v>CRT</v>
          </cell>
          <cell r="D67" t="str">
            <v>NIKO</v>
          </cell>
          <cell r="E67">
            <v>5</v>
          </cell>
          <cell r="F67" t="str">
            <v>BARU</v>
          </cell>
          <cell r="G67">
            <v>1000000</v>
          </cell>
        </row>
        <row r="68">
          <cell r="B68" t="str">
            <v>SPK ACTIVE</v>
          </cell>
          <cell r="C68" t="str">
            <v>SPEAKERS</v>
          </cell>
          <cell r="D68" t="str">
            <v>NIKO</v>
          </cell>
          <cell r="E68">
            <v>4</v>
          </cell>
          <cell r="F68" t="str">
            <v>BARU</v>
          </cell>
          <cell r="G68">
            <v>350000</v>
          </cell>
        </row>
        <row r="69">
          <cell r="B69" t="str">
            <v>NK-811</v>
          </cell>
          <cell r="C69" t="str">
            <v>DVD PLAYER</v>
          </cell>
          <cell r="D69" t="str">
            <v>NIKO</v>
          </cell>
          <cell r="E69">
            <v>17</v>
          </cell>
          <cell r="F69" t="str">
            <v>BARU</v>
          </cell>
          <cell r="G69">
            <v>225000</v>
          </cell>
        </row>
        <row r="70">
          <cell r="B70" t="str">
            <v>NKRC-12</v>
          </cell>
          <cell r="C70" t="str">
            <v>MAGIC COM</v>
          </cell>
          <cell r="D70" t="str">
            <v>NIKO</v>
          </cell>
          <cell r="E70">
            <v>4</v>
          </cell>
          <cell r="F70" t="str">
            <v>BARU</v>
          </cell>
          <cell r="G70">
            <v>190000</v>
          </cell>
        </row>
        <row r="71">
          <cell r="B71" t="str">
            <v>SPK ACTIVE</v>
          </cell>
          <cell r="C71" t="str">
            <v>SPEAKER</v>
          </cell>
          <cell r="D71" t="str">
            <v>NIKO</v>
          </cell>
          <cell r="E71">
            <v>4</v>
          </cell>
          <cell r="F71" t="str">
            <v>BARU</v>
          </cell>
          <cell r="G71">
            <v>220000</v>
          </cell>
        </row>
        <row r="72">
          <cell r="B72" t="str">
            <v>L29</v>
          </cell>
          <cell r="C72" t="str">
            <v>CAMDIG</v>
          </cell>
          <cell r="D72" t="str">
            <v>NIKON</v>
          </cell>
          <cell r="E72">
            <v>3</v>
          </cell>
          <cell r="F72" t="str">
            <v>BARU</v>
          </cell>
          <cell r="G72">
            <v>1150000</v>
          </cell>
        </row>
        <row r="73">
          <cell r="B73" t="str">
            <v>LITIUM</v>
          </cell>
          <cell r="C73" t="str">
            <v>CAMERA</v>
          </cell>
          <cell r="D73" t="str">
            <v xml:space="preserve">NIKON </v>
          </cell>
          <cell r="E73">
            <v>6</v>
          </cell>
          <cell r="F73" t="str">
            <v>BARU</v>
          </cell>
          <cell r="G73">
            <v>1400000</v>
          </cell>
        </row>
        <row r="74">
          <cell r="B74" t="str">
            <v>HX-668</v>
          </cell>
          <cell r="C74" t="str">
            <v>POWER ADA</v>
          </cell>
          <cell r="D74" t="str">
            <v>NK</v>
          </cell>
          <cell r="E74">
            <v>3</v>
          </cell>
          <cell r="F74" t="str">
            <v>BARU</v>
          </cell>
          <cell r="G74">
            <v>60000</v>
          </cell>
        </row>
        <row r="75">
          <cell r="B75" t="str">
            <v>ORIGINAL</v>
          </cell>
          <cell r="C75" t="str">
            <v>CHARGER</v>
          </cell>
          <cell r="D75" t="str">
            <v>NK</v>
          </cell>
          <cell r="E75">
            <v>6</v>
          </cell>
          <cell r="F75" t="str">
            <v>BARU</v>
          </cell>
          <cell r="G75">
            <v>60000</v>
          </cell>
        </row>
        <row r="76">
          <cell r="B76" t="str">
            <v>RX-588</v>
          </cell>
          <cell r="C76" t="str">
            <v>KEYBOARD</v>
          </cell>
          <cell r="D76" t="str">
            <v>OBAMBA USB</v>
          </cell>
          <cell r="E76">
            <v>3</v>
          </cell>
          <cell r="F76" t="str">
            <v>BARU</v>
          </cell>
          <cell r="G76">
            <v>65000</v>
          </cell>
        </row>
        <row r="77">
          <cell r="B77" t="str">
            <v>BIASA</v>
          </cell>
          <cell r="C77" t="str">
            <v>LAMPU JAR</v>
          </cell>
          <cell r="D77" t="str">
            <v>OMY</v>
          </cell>
          <cell r="E77">
            <v>4</v>
          </cell>
          <cell r="F77" t="str">
            <v>BARU</v>
          </cell>
          <cell r="G77">
            <v>6000</v>
          </cell>
        </row>
        <row r="78">
          <cell r="B78" t="str">
            <v>T-907 M</v>
          </cell>
          <cell r="C78" t="str">
            <v>REGULATOR</v>
          </cell>
          <cell r="D78" t="str">
            <v>ONE GAS</v>
          </cell>
          <cell r="E78">
            <v>9</v>
          </cell>
          <cell r="F78" t="str">
            <v>BARU</v>
          </cell>
          <cell r="G78">
            <v>65000</v>
          </cell>
        </row>
        <row r="79">
          <cell r="B79" t="str">
            <v>T-907</v>
          </cell>
          <cell r="C79" t="str">
            <v>REGULATOR</v>
          </cell>
          <cell r="D79" t="str">
            <v>ONE GAS</v>
          </cell>
          <cell r="E79">
            <v>9</v>
          </cell>
          <cell r="F79" t="str">
            <v>BARU</v>
          </cell>
          <cell r="G79">
            <v>45000</v>
          </cell>
        </row>
        <row r="80">
          <cell r="B80" t="str">
            <v>PARABOLA5</v>
          </cell>
          <cell r="C80" t="str">
            <v>PARABOLA</v>
          </cell>
          <cell r="D80" t="str">
            <v>ORANGE TV</v>
          </cell>
          <cell r="E80">
            <v>5</v>
          </cell>
          <cell r="F80" t="str">
            <v>BARU</v>
          </cell>
          <cell r="G80">
            <v>950000</v>
          </cell>
        </row>
        <row r="81">
          <cell r="B81" t="str">
            <v>OX-366</v>
          </cell>
          <cell r="C81" t="str">
            <v>TIMBANGAN</v>
          </cell>
          <cell r="D81" t="str">
            <v>OXONE</v>
          </cell>
          <cell r="E81">
            <v>2</v>
          </cell>
          <cell r="F81" t="str">
            <v>BARU</v>
          </cell>
          <cell r="G81">
            <v>275000</v>
          </cell>
        </row>
        <row r="82">
          <cell r="B82" t="str">
            <v>F-EU409</v>
          </cell>
          <cell r="C82" t="str">
            <v>KIPAS ANGIN</v>
          </cell>
          <cell r="D82" t="str">
            <v>PANASONIC</v>
          </cell>
          <cell r="E82">
            <v>2</v>
          </cell>
          <cell r="F82" t="str">
            <v>BARU</v>
          </cell>
          <cell r="G82">
            <v>475000</v>
          </cell>
        </row>
        <row r="83">
          <cell r="B83" t="str">
            <v>FV-30RUNS</v>
          </cell>
          <cell r="C83" t="str">
            <v>EXHAUST F</v>
          </cell>
          <cell r="D83" t="str">
            <v>PANASONIC</v>
          </cell>
          <cell r="E83">
            <v>2</v>
          </cell>
          <cell r="F83" t="str">
            <v>BARU</v>
          </cell>
          <cell r="G83">
            <v>440000</v>
          </cell>
        </row>
        <row r="84">
          <cell r="B84" t="str">
            <v>KX-TS505MX</v>
          </cell>
          <cell r="C84" t="str">
            <v>PESAWAT T</v>
          </cell>
          <cell r="D84" t="str">
            <v>PANASONIC</v>
          </cell>
          <cell r="E84">
            <v>6</v>
          </cell>
          <cell r="F84" t="str">
            <v>BARU</v>
          </cell>
          <cell r="G84">
            <v>175000</v>
          </cell>
        </row>
        <row r="85">
          <cell r="B85" t="str">
            <v>MX-GX1061</v>
          </cell>
          <cell r="C85" t="str">
            <v>BLENDER</v>
          </cell>
          <cell r="D85" t="str">
            <v>PANASONIC</v>
          </cell>
          <cell r="E85">
            <v>3</v>
          </cell>
          <cell r="F85" t="str">
            <v>BARU</v>
          </cell>
          <cell r="G85">
            <v>500000</v>
          </cell>
        </row>
        <row r="86">
          <cell r="B86" t="str">
            <v>N1-317T</v>
          </cell>
          <cell r="C86" t="str">
            <v>SETRIKA</v>
          </cell>
          <cell r="D86" t="str">
            <v>PANASONIC</v>
          </cell>
          <cell r="E86">
            <v>8</v>
          </cell>
          <cell r="F86" t="str">
            <v>BARU</v>
          </cell>
          <cell r="G86">
            <v>270000</v>
          </cell>
        </row>
        <row r="87">
          <cell r="B87" t="str">
            <v>N1-V100N</v>
          </cell>
          <cell r="C87" t="str">
            <v>SETRIKA</v>
          </cell>
          <cell r="D87" t="str">
            <v>PANASONIC</v>
          </cell>
          <cell r="E87">
            <v>6</v>
          </cell>
          <cell r="F87" t="str">
            <v>BARU</v>
          </cell>
          <cell r="G87">
            <v>320000</v>
          </cell>
        </row>
        <row r="88">
          <cell r="B88" t="str">
            <v>NA-W75BC1</v>
          </cell>
          <cell r="C88" t="str">
            <v>MESIN CUCI</v>
          </cell>
          <cell r="D88" t="str">
            <v>PANASONIC</v>
          </cell>
          <cell r="E88">
            <v>3</v>
          </cell>
          <cell r="F88" t="str">
            <v>BARU</v>
          </cell>
          <cell r="G88">
            <v>1775000</v>
          </cell>
        </row>
        <row r="89">
          <cell r="B89" t="str">
            <v>NA-W96FC2</v>
          </cell>
          <cell r="C89" t="str">
            <v>MESIN CUCI</v>
          </cell>
          <cell r="D89" t="str">
            <v>PANASONIC</v>
          </cell>
          <cell r="E89">
            <v>3</v>
          </cell>
          <cell r="F89" t="str">
            <v>BARU</v>
          </cell>
          <cell r="G89">
            <v>1900000</v>
          </cell>
        </row>
        <row r="90">
          <cell r="B90" t="str">
            <v>NA-W9FC2</v>
          </cell>
          <cell r="C90" t="str">
            <v>MICROPHONE</v>
          </cell>
          <cell r="D90" t="str">
            <v>PANASONIC</v>
          </cell>
          <cell r="E90">
            <v>11</v>
          </cell>
          <cell r="F90" t="str">
            <v>BARU</v>
          </cell>
          <cell r="G90">
            <v>1850000</v>
          </cell>
        </row>
        <row r="91">
          <cell r="B91" t="str">
            <v>NR-B228F-S</v>
          </cell>
          <cell r="C91" t="str">
            <v>LEMARIN ES</v>
          </cell>
          <cell r="D91" t="str">
            <v>PANASONIC</v>
          </cell>
          <cell r="E91">
            <v>2</v>
          </cell>
          <cell r="F91" t="str">
            <v>BARU</v>
          </cell>
          <cell r="G91">
            <v>2900000</v>
          </cell>
        </row>
        <row r="92">
          <cell r="B92" t="str">
            <v>NR-B268F</v>
          </cell>
          <cell r="C92" t="str">
            <v>LEMARI ES</v>
          </cell>
          <cell r="D92" t="str">
            <v>PANASONIC</v>
          </cell>
          <cell r="E92">
            <v>2</v>
          </cell>
          <cell r="F92" t="str">
            <v>BARU</v>
          </cell>
          <cell r="G92">
            <v>3200000</v>
          </cell>
        </row>
        <row r="93">
          <cell r="B93" t="str">
            <v>TH-40C303G</v>
          </cell>
          <cell r="C93" t="str">
            <v>TELEVISI</v>
          </cell>
          <cell r="D93" t="str">
            <v>PANASONIC</v>
          </cell>
          <cell r="E93">
            <v>4</v>
          </cell>
          <cell r="F93" t="str">
            <v>BARU</v>
          </cell>
          <cell r="G93">
            <v>4750000</v>
          </cell>
        </row>
        <row r="94">
          <cell r="B94" t="str">
            <v>H-L32B6G</v>
          </cell>
          <cell r="C94" t="str">
            <v>TELEVISI</v>
          </cell>
          <cell r="D94" t="str">
            <v>PANASONIC</v>
          </cell>
          <cell r="E94">
            <v>10</v>
          </cell>
          <cell r="F94" t="str">
            <v>BARU</v>
          </cell>
          <cell r="G94">
            <v>2850000</v>
          </cell>
        </row>
        <row r="95">
          <cell r="B95" t="str">
            <v>TAPOS</v>
          </cell>
          <cell r="C95" t="str">
            <v>PARABOLA</v>
          </cell>
          <cell r="D95" t="str">
            <v>4 LB RECEIVER</v>
          </cell>
          <cell r="E95">
            <v>8</v>
          </cell>
          <cell r="F95" t="str">
            <v>BARU</v>
          </cell>
          <cell r="G95">
            <v>1150000</v>
          </cell>
        </row>
        <row r="96">
          <cell r="B96" t="str">
            <v>SOFL 16W230VES</v>
          </cell>
          <cell r="C96" t="str">
            <v>LAMPU</v>
          </cell>
          <cell r="D96" t="str">
            <v>PARTY 15W E27</v>
          </cell>
          <cell r="E96">
            <v>6</v>
          </cell>
          <cell r="F96" t="str">
            <v>BARU</v>
          </cell>
          <cell r="G96">
            <v>7500</v>
          </cell>
        </row>
        <row r="97">
          <cell r="B97" t="str">
            <v>LBL 15W230VES</v>
          </cell>
          <cell r="C97" t="str">
            <v>LAMPU</v>
          </cell>
          <cell r="D97" t="str">
            <v>PARTY 15W E27</v>
          </cell>
          <cell r="E97">
            <v>19</v>
          </cell>
          <cell r="F97" t="str">
            <v>BARU</v>
          </cell>
          <cell r="G97">
            <v>7500</v>
          </cell>
        </row>
        <row r="98">
          <cell r="B98" t="str">
            <v>LRE 15W230VES</v>
          </cell>
          <cell r="C98" t="str">
            <v>LAMPU</v>
          </cell>
          <cell r="D98" t="str">
            <v>PARTY 15W E27</v>
          </cell>
          <cell r="E98">
            <v>19</v>
          </cell>
          <cell r="F98" t="str">
            <v>BARU</v>
          </cell>
          <cell r="G98">
            <v>7500</v>
          </cell>
        </row>
        <row r="99">
          <cell r="B99" t="str">
            <v>LPG-1G</v>
          </cell>
          <cell r="C99" t="str">
            <v>REGULATOR</v>
          </cell>
          <cell r="D99" t="str">
            <v>PANASONIC</v>
          </cell>
          <cell r="E99">
            <v>6</v>
          </cell>
          <cell r="F99" t="str">
            <v>BARU</v>
          </cell>
          <cell r="G99">
            <v>65000</v>
          </cell>
        </row>
        <row r="100">
          <cell r="B100" t="str">
            <v>TV-822</v>
          </cell>
          <cell r="C100" t="str">
            <v>REMOTE</v>
          </cell>
          <cell r="D100" t="str">
            <v>PENTAGON</v>
          </cell>
          <cell r="E100">
            <v>5</v>
          </cell>
          <cell r="F100" t="str">
            <v>BARU</v>
          </cell>
          <cell r="G100">
            <v>25000</v>
          </cell>
        </row>
        <row r="101">
          <cell r="B101" t="str">
            <v>DX-W99000</v>
          </cell>
          <cell r="C101" t="str">
            <v>ANTENA</v>
          </cell>
          <cell r="D101" t="str">
            <v>PF ANTENA</v>
          </cell>
          <cell r="E101">
            <v>7</v>
          </cell>
          <cell r="F101" t="str">
            <v>BARU</v>
          </cell>
          <cell r="G101">
            <v>95000</v>
          </cell>
        </row>
        <row r="102">
          <cell r="B102" t="str">
            <v>11 WATT</v>
          </cell>
          <cell r="C102" t="str">
            <v>LAMPU JAR</v>
          </cell>
          <cell r="D102" t="str">
            <v>PHILIPS</v>
          </cell>
          <cell r="E102">
            <v>10</v>
          </cell>
          <cell r="F102" t="str">
            <v>BARU</v>
          </cell>
          <cell r="G102">
            <v>33000</v>
          </cell>
        </row>
        <row r="103">
          <cell r="B103" t="str">
            <v>ESS14WCDLS</v>
          </cell>
          <cell r="C103" t="str">
            <v>LAMPU JAR</v>
          </cell>
          <cell r="D103" t="str">
            <v>PHILIPS 14W CDL E27</v>
          </cell>
          <cell r="E103">
            <v>9</v>
          </cell>
          <cell r="F103" t="str">
            <v>BARU</v>
          </cell>
          <cell r="G103">
            <v>35000</v>
          </cell>
        </row>
        <row r="104">
          <cell r="B104" t="str">
            <v>ESS18WCDLES</v>
          </cell>
          <cell r="C104" t="str">
            <v>LAMPU JAR</v>
          </cell>
          <cell r="D104" t="str">
            <v>PHILIPS</v>
          </cell>
          <cell r="E104">
            <v>7</v>
          </cell>
          <cell r="F104" t="str">
            <v>BARU</v>
          </cell>
          <cell r="G104">
            <v>36000</v>
          </cell>
        </row>
        <row r="105">
          <cell r="B105" t="str">
            <v>123gh</v>
          </cell>
          <cell r="C105" t="str">
            <v>tv</v>
          </cell>
          <cell r="D105" t="str">
            <v>sanyo</v>
          </cell>
          <cell r="E105">
            <v>4</v>
          </cell>
          <cell r="F105" t="str">
            <v>BEKAS</v>
          </cell>
          <cell r="G105">
            <v>12000000</v>
          </cell>
        </row>
        <row r="106">
          <cell r="B106" t="str">
            <v>56n</v>
          </cell>
          <cell r="C106" t="str">
            <v>laptop</v>
          </cell>
          <cell r="D106" t="str">
            <v>hps</v>
          </cell>
          <cell r="E106">
            <v>9</v>
          </cell>
          <cell r="F106" t="str">
            <v>BEKAS</v>
          </cell>
          <cell r="G106">
            <v>3200000</v>
          </cell>
        </row>
        <row r="107">
          <cell r="B107">
            <v>0</v>
          </cell>
          <cell r="G107">
            <v>0</v>
          </cell>
        </row>
        <row r="108">
          <cell r="B108">
            <v>0</v>
          </cell>
          <cell r="G108">
            <v>0</v>
          </cell>
        </row>
        <row r="109">
          <cell r="B109">
            <v>0</v>
          </cell>
          <cell r="G109">
            <v>0</v>
          </cell>
        </row>
        <row r="110">
          <cell r="B110">
            <v>0</v>
          </cell>
          <cell r="G110">
            <v>0</v>
          </cell>
        </row>
        <row r="111">
          <cell r="B111">
            <v>0</v>
          </cell>
          <cell r="G111">
            <v>0</v>
          </cell>
        </row>
        <row r="112">
          <cell r="B112">
            <v>0</v>
          </cell>
          <cell r="G112">
            <v>0</v>
          </cell>
        </row>
        <row r="113">
          <cell r="B113">
            <v>0</v>
          </cell>
          <cell r="G113">
            <v>0</v>
          </cell>
        </row>
        <row r="114">
          <cell r="B114">
            <v>0</v>
          </cell>
          <cell r="G114">
            <v>0</v>
          </cell>
        </row>
        <row r="115">
          <cell r="B115">
            <v>0</v>
          </cell>
          <cell r="G115">
            <v>0</v>
          </cell>
        </row>
        <row r="116">
          <cell r="B116">
            <v>0</v>
          </cell>
          <cell r="G116">
            <v>0</v>
          </cell>
        </row>
        <row r="117">
          <cell r="B117">
            <v>0</v>
          </cell>
          <cell r="G117">
            <v>0</v>
          </cell>
        </row>
        <row r="118">
          <cell r="B118">
            <v>0</v>
          </cell>
          <cell r="G118">
            <v>0</v>
          </cell>
        </row>
        <row r="119">
          <cell r="B119">
            <v>0</v>
          </cell>
          <cell r="G119">
            <v>0</v>
          </cell>
        </row>
        <row r="120">
          <cell r="B120">
            <v>0</v>
          </cell>
          <cell r="G120">
            <v>0</v>
          </cell>
        </row>
        <row r="121">
          <cell r="B121">
            <v>0</v>
          </cell>
          <cell r="G121">
            <v>0</v>
          </cell>
        </row>
        <row r="122">
          <cell r="B122">
            <v>0</v>
          </cell>
          <cell r="G122">
            <v>0</v>
          </cell>
        </row>
        <row r="123">
          <cell r="B123">
            <v>0</v>
          </cell>
          <cell r="G123">
            <v>0</v>
          </cell>
        </row>
        <row r="124">
          <cell r="B124">
            <v>0</v>
          </cell>
          <cell r="G124">
            <v>0</v>
          </cell>
        </row>
        <row r="125">
          <cell r="B125">
            <v>0</v>
          </cell>
          <cell r="G125">
            <v>0</v>
          </cell>
        </row>
        <row r="126">
          <cell r="B126">
            <v>0</v>
          </cell>
          <cell r="G126">
            <v>0</v>
          </cell>
        </row>
        <row r="127">
          <cell r="B127">
            <v>0</v>
          </cell>
          <cell r="G127">
            <v>0</v>
          </cell>
        </row>
        <row r="128">
          <cell r="B128">
            <v>0</v>
          </cell>
          <cell r="G128">
            <v>0</v>
          </cell>
        </row>
        <row r="129">
          <cell r="B129">
            <v>0</v>
          </cell>
          <cell r="G129">
            <v>0</v>
          </cell>
        </row>
        <row r="130">
          <cell r="B130">
            <v>0</v>
          </cell>
          <cell r="G130">
            <v>0</v>
          </cell>
        </row>
        <row r="131">
          <cell r="B131">
            <v>0</v>
          </cell>
          <cell r="G131">
            <v>0</v>
          </cell>
        </row>
        <row r="132">
          <cell r="B132">
            <v>0</v>
          </cell>
          <cell r="G132">
            <v>0</v>
          </cell>
        </row>
        <row r="133">
          <cell r="B133">
            <v>0</v>
          </cell>
          <cell r="G133">
            <v>0</v>
          </cell>
        </row>
        <row r="134">
          <cell r="B134">
            <v>0</v>
          </cell>
          <cell r="G134">
            <v>0</v>
          </cell>
        </row>
        <row r="135">
          <cell r="B135">
            <v>0</v>
          </cell>
          <cell r="G135">
            <v>0</v>
          </cell>
        </row>
        <row r="136">
          <cell r="B136">
            <v>0</v>
          </cell>
          <cell r="G136">
            <v>0</v>
          </cell>
        </row>
        <row r="137">
          <cell r="B137">
            <v>0</v>
          </cell>
          <cell r="G137">
            <v>0</v>
          </cell>
        </row>
        <row r="138">
          <cell r="B138">
            <v>0</v>
          </cell>
          <cell r="G138">
            <v>0</v>
          </cell>
        </row>
        <row r="139">
          <cell r="B139">
            <v>0</v>
          </cell>
          <cell r="G139">
            <v>0</v>
          </cell>
        </row>
        <row r="140">
          <cell r="B140">
            <v>0</v>
          </cell>
          <cell r="G140">
            <v>0</v>
          </cell>
        </row>
        <row r="141">
          <cell r="B141">
            <v>0</v>
          </cell>
          <cell r="G141">
            <v>0</v>
          </cell>
        </row>
        <row r="142">
          <cell r="B142">
            <v>0</v>
          </cell>
          <cell r="G142">
            <v>0</v>
          </cell>
        </row>
        <row r="143">
          <cell r="B143">
            <v>0</v>
          </cell>
          <cell r="G143">
            <v>0</v>
          </cell>
        </row>
        <row r="144">
          <cell r="B144">
            <v>0</v>
          </cell>
          <cell r="G144">
            <v>0</v>
          </cell>
        </row>
        <row r="145">
          <cell r="B145">
            <v>0</v>
          </cell>
          <cell r="G145">
            <v>0</v>
          </cell>
        </row>
        <row r="146">
          <cell r="B146">
            <v>0</v>
          </cell>
          <cell r="G146">
            <v>0</v>
          </cell>
        </row>
        <row r="147">
          <cell r="B147">
            <v>0</v>
          </cell>
          <cell r="G147">
            <v>0</v>
          </cell>
        </row>
        <row r="148">
          <cell r="B148">
            <v>0</v>
          </cell>
          <cell r="G148">
            <v>0</v>
          </cell>
        </row>
        <row r="149">
          <cell r="B149">
            <v>0</v>
          </cell>
          <cell r="G149">
            <v>0</v>
          </cell>
        </row>
        <row r="150">
          <cell r="B150">
            <v>0</v>
          </cell>
          <cell r="G150">
            <v>0</v>
          </cell>
        </row>
        <row r="151">
          <cell r="B151">
            <v>0</v>
          </cell>
          <cell r="G151">
            <v>0</v>
          </cell>
        </row>
        <row r="152">
          <cell r="B152">
            <v>0</v>
          </cell>
          <cell r="G152">
            <v>0</v>
          </cell>
        </row>
        <row r="153">
          <cell r="B153">
            <v>0</v>
          </cell>
          <cell r="G153">
            <v>0</v>
          </cell>
        </row>
        <row r="154">
          <cell r="B154">
            <v>0</v>
          </cell>
          <cell r="G154">
            <v>0</v>
          </cell>
        </row>
        <row r="155">
          <cell r="B155">
            <v>0</v>
          </cell>
          <cell r="G155">
            <v>0</v>
          </cell>
        </row>
        <row r="156">
          <cell r="B156">
            <v>0</v>
          </cell>
          <cell r="G156">
            <v>0</v>
          </cell>
        </row>
        <row r="157">
          <cell r="B157">
            <v>0</v>
          </cell>
          <cell r="G157">
            <v>0</v>
          </cell>
        </row>
        <row r="158">
          <cell r="B158">
            <v>0</v>
          </cell>
          <cell r="G158">
            <v>0</v>
          </cell>
        </row>
        <row r="159">
          <cell r="B159">
            <v>0</v>
          </cell>
          <cell r="G159">
            <v>0</v>
          </cell>
        </row>
        <row r="160">
          <cell r="B160">
            <v>0</v>
          </cell>
          <cell r="G160">
            <v>0</v>
          </cell>
        </row>
        <row r="161">
          <cell r="B161">
            <v>0</v>
          </cell>
          <cell r="G161">
            <v>0</v>
          </cell>
        </row>
        <row r="162">
          <cell r="B162">
            <v>0</v>
          </cell>
          <cell r="G162">
            <v>0</v>
          </cell>
        </row>
        <row r="163">
          <cell r="B163">
            <v>0</v>
          </cell>
          <cell r="G163">
            <v>0</v>
          </cell>
        </row>
        <row r="164">
          <cell r="B164">
            <v>0</v>
          </cell>
          <cell r="G164">
            <v>0</v>
          </cell>
        </row>
        <row r="165">
          <cell r="B165">
            <v>0</v>
          </cell>
          <cell r="G165">
            <v>0</v>
          </cell>
        </row>
        <row r="166">
          <cell r="B166">
            <v>0</v>
          </cell>
          <cell r="G166">
            <v>0</v>
          </cell>
        </row>
        <row r="167">
          <cell r="B167">
            <v>0</v>
          </cell>
          <cell r="G167">
            <v>0</v>
          </cell>
        </row>
        <row r="168">
          <cell r="B168">
            <v>0</v>
          </cell>
          <cell r="G168">
            <v>0</v>
          </cell>
        </row>
        <row r="169">
          <cell r="B169">
            <v>0</v>
          </cell>
          <cell r="G169">
            <v>0</v>
          </cell>
        </row>
        <row r="170">
          <cell r="B170">
            <v>0</v>
          </cell>
          <cell r="G170">
            <v>0</v>
          </cell>
        </row>
        <row r="171">
          <cell r="B171">
            <v>0</v>
          </cell>
          <cell r="G171">
            <v>0</v>
          </cell>
        </row>
        <row r="172">
          <cell r="B172">
            <v>0</v>
          </cell>
          <cell r="G172">
            <v>0</v>
          </cell>
        </row>
        <row r="173">
          <cell r="B173">
            <v>0</v>
          </cell>
          <cell r="G173">
            <v>0</v>
          </cell>
        </row>
        <row r="174">
          <cell r="B174">
            <v>0</v>
          </cell>
          <cell r="G174">
            <v>0</v>
          </cell>
        </row>
        <row r="175">
          <cell r="B175">
            <v>0</v>
          </cell>
          <cell r="G175">
            <v>0</v>
          </cell>
        </row>
        <row r="176">
          <cell r="B176">
            <v>0</v>
          </cell>
          <cell r="G176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id="1" name="Table1" displayName="Table1" ref="B2:M51" headerRowDxfId="36" dataDxfId="35" totalsRowDxfId="34">
  <tableColumns count="12">
    <tableColumn id="1" name="Kode Barang" dataDxfId="33" totalsRowDxfId="32"/>
    <tableColumn id="2" name="Nama Barang" dataDxfId="31" totalsRowDxfId="30"/>
    <tableColumn id="12" name="Jenis Barang" dataDxfId="29" totalsRowDxfId="28"/>
    <tableColumn id="3" name="Stock" dataDxfId="27" totalsRowDxfId="26"/>
    <tableColumn id="4" name="Harga Beli" dataDxfId="25" totalsRowDxfId="24" dataCellStyle="Currency [0]"/>
    <tableColumn id="5" name="Harga Jual" dataDxfId="23" totalsRowDxfId="22" dataCellStyle="Currency [0]"/>
    <tableColumn id="6" name="Lokasi" dataDxfId="21" totalsRowDxfId="20"/>
    <tableColumn id="7" name="Status" dataDxfId="19" totalsRowDxfId="18"/>
    <tableColumn id="8" name="Kelengkapan" dataDxfId="17" totalsRowDxfId="16"/>
    <tableColumn id="9" name="Plat" dataDxfId="15" totalsRowDxfId="14"/>
    <tableColumn id="10" name="Tahun" dataDxfId="13" totalsRowDxfId="12"/>
    <tableColumn id="11" name=" " dataDxfId="11" totalsRowDxfId="10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2:A51" totalsRowShown="0" headerRowDxfId="9" headerRowBorderDxfId="8" tableBorderDxfId="7">
  <autoFilter ref="A2:A51"/>
  <tableColumns count="1">
    <tableColumn id="1" name="NO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Q14:S34" headerRowCount="0" totalsRowShown="0" dataDxfId="6">
  <tableColumns count="3">
    <tableColumn id="1" name="Column1" headerRowDxfId="5" dataDxfId="4"/>
    <tableColumn id="2" name="Column2" headerRowDxfId="3" dataDxfId="2" headerRowCellStyle="Currency [0]"/>
    <tableColumn id="3" name="Column3" headerRowDxfId="1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B7"/>
  <sheetViews>
    <sheetView tabSelected="1" zoomScale="70" zoomScaleNormal="70" workbookViewId="0">
      <selection activeCell="E6" sqref="E6"/>
    </sheetView>
  </sheetViews>
  <sheetFormatPr defaultColWidth="9.140625" defaultRowHeight="15.75"/>
  <cols>
    <col min="1" max="1" width="16" style="4" customWidth="1"/>
    <col min="2" max="2" width="20" style="4" customWidth="1"/>
    <col min="3" max="16384" width="9.140625" style="4"/>
  </cols>
  <sheetData>
    <row r="1" spans="1:2" ht="21" thickTop="1">
      <c r="A1" s="7" t="s">
        <v>3</v>
      </c>
      <c r="B1" s="8" t="s">
        <v>4</v>
      </c>
    </row>
    <row r="2" spans="1:2" ht="21" thickBot="1">
      <c r="A2" s="5" t="s">
        <v>5</v>
      </c>
      <c r="B2" s="6" t="s">
        <v>5</v>
      </c>
    </row>
    <row r="3" spans="1:2" ht="16.5" thickTop="1"/>
    <row r="6" spans="1:2">
      <c r="A6" s="4" t="s">
        <v>7</v>
      </c>
    </row>
    <row r="7" spans="1:2">
      <c r="A7" s="4" t="s">
        <v>6</v>
      </c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  <legacyDrawing r:id="rId3"/>
  <controls>
    <control shapeId="2049" r:id="rId4" name="menulogi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T52"/>
  <sheetViews>
    <sheetView topLeftCell="E1" zoomScale="96" zoomScaleNormal="96" workbookViewId="0">
      <selection activeCell="B43" sqref="B43"/>
    </sheetView>
  </sheetViews>
  <sheetFormatPr defaultRowHeight="15"/>
  <cols>
    <col min="1" max="1" width="6.140625" customWidth="1"/>
    <col min="2" max="2" width="17.28515625" customWidth="1"/>
    <col min="3" max="4" width="45.140625" customWidth="1"/>
    <col min="5" max="5" width="18.42578125" customWidth="1"/>
    <col min="6" max="6" width="23.85546875" style="10" customWidth="1"/>
    <col min="7" max="7" width="20.85546875" style="2" customWidth="1"/>
    <col min="8" max="8" width="14.5703125" hidden="1" customWidth="1"/>
    <col min="9" max="9" width="15" hidden="1" customWidth="1"/>
    <col min="10" max="10" width="17.7109375" hidden="1" customWidth="1"/>
    <col min="11" max="11" width="9.28515625" hidden="1" customWidth="1"/>
    <col min="12" max="12" width="8.5703125" hidden="1" customWidth="1"/>
    <col min="15" max="16" width="9.140625" style="9"/>
    <col min="17" max="17" width="14.28515625" style="9" customWidth="1"/>
    <col min="18" max="18" width="11.7109375" style="9" customWidth="1"/>
    <col min="19" max="19" width="10.85546875" style="9" customWidth="1"/>
    <col min="20" max="20" width="9.140625" style="9"/>
  </cols>
  <sheetData>
    <row r="1" spans="1:20" ht="136.5" customHeight="1">
      <c r="A1" s="47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9"/>
    </row>
    <row r="2" spans="1:20" s="1" customFormat="1" ht="25.5" customHeight="1" thickBot="1">
      <c r="A2" s="48" t="s">
        <v>53</v>
      </c>
      <c r="B2" s="17" t="s">
        <v>10</v>
      </c>
      <c r="C2" s="17" t="s">
        <v>11</v>
      </c>
      <c r="D2" s="17" t="s">
        <v>34</v>
      </c>
      <c r="E2" s="21" t="s">
        <v>12</v>
      </c>
      <c r="F2" s="20" t="s">
        <v>14</v>
      </c>
      <c r="G2" s="19" t="s">
        <v>13</v>
      </c>
      <c r="H2" s="17" t="s">
        <v>0</v>
      </c>
      <c r="I2" s="17" t="s">
        <v>9</v>
      </c>
      <c r="J2" s="17" t="s">
        <v>8</v>
      </c>
      <c r="K2" s="17" t="s">
        <v>1</v>
      </c>
      <c r="L2" s="17" t="s">
        <v>2</v>
      </c>
      <c r="M2" s="11" t="s">
        <v>95</v>
      </c>
      <c r="N2"/>
      <c r="P2" s="9"/>
      <c r="Q2" s="9"/>
      <c r="R2" s="9"/>
      <c r="S2" s="9"/>
      <c r="T2" s="9"/>
    </row>
    <row r="3" spans="1:20" ht="25.5" customHeight="1" thickTop="1">
      <c r="A3">
        <v>1</v>
      </c>
      <c r="B3" s="3" t="s">
        <v>90</v>
      </c>
      <c r="C3" s="18" t="s">
        <v>15</v>
      </c>
      <c r="D3" s="18" t="s">
        <v>35</v>
      </c>
      <c r="E3" s="22">
        <v>20</v>
      </c>
      <c r="F3" s="44">
        <v>5000</v>
      </c>
      <c r="G3" s="45">
        <v>8000</v>
      </c>
      <c r="H3" s="14"/>
      <c r="I3" s="13"/>
      <c r="J3" s="13"/>
      <c r="K3" s="13"/>
      <c r="L3" s="13"/>
      <c r="M3" s="12"/>
    </row>
    <row r="4" spans="1:20" ht="25.5" customHeight="1">
      <c r="A4">
        <v>2</v>
      </c>
      <c r="B4" s="3" t="s">
        <v>55</v>
      </c>
      <c r="C4" s="18" t="s">
        <v>16</v>
      </c>
      <c r="D4" s="18" t="s">
        <v>36</v>
      </c>
      <c r="E4" s="23">
        <v>20</v>
      </c>
      <c r="F4" s="44">
        <v>5000</v>
      </c>
      <c r="G4" s="45">
        <v>8000</v>
      </c>
      <c r="H4" s="14"/>
      <c r="I4" s="13"/>
      <c r="J4" s="13"/>
      <c r="K4" s="13"/>
      <c r="L4" s="13"/>
      <c r="M4" s="12"/>
    </row>
    <row r="5" spans="1:20" ht="25.5" customHeight="1">
      <c r="A5">
        <v>3</v>
      </c>
      <c r="B5" s="3" t="s">
        <v>56</v>
      </c>
      <c r="C5" s="18" t="s">
        <v>17</v>
      </c>
      <c r="D5" s="18" t="s">
        <v>35</v>
      </c>
      <c r="E5" s="22">
        <v>20</v>
      </c>
      <c r="F5" s="44">
        <v>5000</v>
      </c>
      <c r="G5" s="45">
        <v>8000</v>
      </c>
      <c r="H5" s="14"/>
      <c r="I5" s="13"/>
      <c r="J5" s="13"/>
      <c r="K5" s="13"/>
      <c r="L5" s="13"/>
      <c r="M5" s="12"/>
    </row>
    <row r="6" spans="1:20" ht="25.5" customHeight="1">
      <c r="A6">
        <v>4</v>
      </c>
      <c r="B6" s="3" t="s">
        <v>57</v>
      </c>
      <c r="C6" s="18" t="s">
        <v>18</v>
      </c>
      <c r="D6" s="18" t="s">
        <v>35</v>
      </c>
      <c r="E6" s="23">
        <v>20</v>
      </c>
      <c r="F6" s="44">
        <v>5000</v>
      </c>
      <c r="G6" s="45">
        <v>8000</v>
      </c>
      <c r="H6" s="14"/>
      <c r="I6" s="13"/>
      <c r="J6" s="13"/>
      <c r="K6" s="13"/>
      <c r="L6" s="13"/>
      <c r="M6" s="12"/>
    </row>
    <row r="7" spans="1:20" ht="25.5" customHeight="1">
      <c r="A7">
        <v>5</v>
      </c>
      <c r="B7" s="3" t="s">
        <v>58</v>
      </c>
      <c r="C7" s="18" t="s">
        <v>94</v>
      </c>
      <c r="D7" s="18" t="s">
        <v>36</v>
      </c>
      <c r="E7" s="22">
        <v>20</v>
      </c>
      <c r="F7" s="44">
        <v>3000</v>
      </c>
      <c r="G7" s="45">
        <v>5000</v>
      </c>
      <c r="H7" s="14"/>
      <c r="I7" s="13"/>
      <c r="J7" s="13"/>
      <c r="K7" s="13"/>
      <c r="L7" s="13"/>
      <c r="M7" s="12"/>
    </row>
    <row r="8" spans="1:20" ht="25.5" customHeight="1">
      <c r="A8">
        <v>6</v>
      </c>
      <c r="B8" s="3" t="s">
        <v>59</v>
      </c>
      <c r="C8" s="18" t="s">
        <v>19</v>
      </c>
      <c r="D8" s="18" t="s">
        <v>37</v>
      </c>
      <c r="E8" s="23">
        <v>30</v>
      </c>
      <c r="F8" s="43">
        <v>5000</v>
      </c>
      <c r="G8" s="42">
        <v>8000</v>
      </c>
      <c r="H8" s="14"/>
      <c r="I8" s="13"/>
      <c r="J8" s="13"/>
      <c r="K8" s="13"/>
      <c r="L8" s="13"/>
      <c r="M8" s="12"/>
    </row>
    <row r="9" spans="1:20" ht="25.5" customHeight="1">
      <c r="A9">
        <v>7</v>
      </c>
      <c r="B9" s="3" t="s">
        <v>60</v>
      </c>
      <c r="C9" s="18" t="s">
        <v>20</v>
      </c>
      <c r="D9" s="18" t="s">
        <v>37</v>
      </c>
      <c r="E9" s="22">
        <v>30</v>
      </c>
      <c r="F9" s="43">
        <v>5000</v>
      </c>
      <c r="G9" s="42">
        <v>8000</v>
      </c>
      <c r="H9" s="14"/>
      <c r="I9" s="13"/>
      <c r="J9" s="13"/>
      <c r="K9" s="13"/>
      <c r="L9" s="13"/>
      <c r="M9" s="12"/>
    </row>
    <row r="10" spans="1:20" ht="25.5" customHeight="1">
      <c r="A10">
        <v>8</v>
      </c>
      <c r="B10" s="3" t="s">
        <v>61</v>
      </c>
      <c r="C10" s="18" t="s">
        <v>21</v>
      </c>
      <c r="D10" s="18" t="s">
        <v>37</v>
      </c>
      <c r="E10" s="23">
        <v>30</v>
      </c>
      <c r="F10" s="43">
        <v>5000</v>
      </c>
      <c r="G10" s="42">
        <v>8000</v>
      </c>
      <c r="H10" s="14"/>
      <c r="I10" s="13"/>
      <c r="J10" s="13"/>
      <c r="K10" s="13"/>
      <c r="L10" s="13"/>
      <c r="M10" s="12"/>
    </row>
    <row r="11" spans="1:20" ht="25.5" customHeight="1">
      <c r="A11">
        <v>9</v>
      </c>
      <c r="B11" s="3" t="s">
        <v>62</v>
      </c>
      <c r="C11" s="18" t="s">
        <v>22</v>
      </c>
      <c r="D11" s="18" t="s">
        <v>37</v>
      </c>
      <c r="E11" s="22">
        <v>30</v>
      </c>
      <c r="F11" s="43">
        <v>5000</v>
      </c>
      <c r="G11" s="42">
        <v>8000</v>
      </c>
      <c r="H11" s="14"/>
      <c r="I11" s="13"/>
      <c r="J11" s="13"/>
      <c r="K11" s="13"/>
      <c r="L11" s="13"/>
      <c r="M11" s="12"/>
    </row>
    <row r="12" spans="1:20" ht="25.5" customHeight="1">
      <c r="A12">
        <v>10</v>
      </c>
      <c r="B12" s="3" t="s">
        <v>63</v>
      </c>
      <c r="C12" s="18" t="s">
        <v>23</v>
      </c>
      <c r="D12" s="18" t="s">
        <v>37</v>
      </c>
      <c r="E12" s="23">
        <v>30</v>
      </c>
      <c r="F12" s="43">
        <v>5000</v>
      </c>
      <c r="G12" s="42">
        <v>8000</v>
      </c>
      <c r="H12" s="14"/>
      <c r="I12" s="13"/>
      <c r="J12" s="13"/>
      <c r="K12" s="13"/>
      <c r="L12" s="13"/>
      <c r="M12" s="12"/>
    </row>
    <row r="13" spans="1:20" ht="25.5" customHeight="1">
      <c r="A13">
        <v>11</v>
      </c>
      <c r="B13" s="3" t="s">
        <v>54</v>
      </c>
      <c r="C13" s="18" t="s">
        <v>24</v>
      </c>
      <c r="D13" s="18" t="s">
        <v>38</v>
      </c>
      <c r="E13" s="22">
        <v>30</v>
      </c>
      <c r="F13" s="44">
        <v>3000</v>
      </c>
      <c r="G13" s="45">
        <v>5000</v>
      </c>
      <c r="H13" s="14"/>
      <c r="I13" s="13"/>
      <c r="J13" s="13"/>
      <c r="K13" s="13"/>
      <c r="L13" s="13"/>
      <c r="M13" s="12"/>
      <c r="Q13"/>
      <c r="R13"/>
      <c r="S13"/>
    </row>
    <row r="14" spans="1:20" ht="25.5" customHeight="1">
      <c r="A14">
        <v>12</v>
      </c>
      <c r="B14" s="3" t="s">
        <v>64</v>
      </c>
      <c r="C14" s="18" t="s">
        <v>25</v>
      </c>
      <c r="D14" s="18" t="s">
        <v>38</v>
      </c>
      <c r="E14" s="23">
        <v>20</v>
      </c>
      <c r="F14" s="43">
        <v>5000</v>
      </c>
      <c r="G14" s="42">
        <v>8000</v>
      </c>
      <c r="H14" s="14"/>
      <c r="I14" s="13"/>
      <c r="J14" s="13"/>
      <c r="K14" s="13"/>
      <c r="L14" s="13"/>
      <c r="M14" s="12"/>
      <c r="Q14" s="50"/>
      <c r="R14" s="51"/>
      <c r="S14" s="50"/>
    </row>
    <row r="15" spans="1:20" ht="25.5" customHeight="1">
      <c r="A15">
        <v>13</v>
      </c>
      <c r="B15" s="3" t="s">
        <v>65</v>
      </c>
      <c r="C15" s="18" t="s">
        <v>26</v>
      </c>
      <c r="D15" s="18" t="s">
        <v>38</v>
      </c>
      <c r="E15" s="22">
        <v>20</v>
      </c>
      <c r="F15" s="43">
        <v>5000</v>
      </c>
      <c r="G15" s="42">
        <v>8000</v>
      </c>
      <c r="H15" s="14"/>
      <c r="I15" s="13"/>
      <c r="J15" s="13"/>
      <c r="K15" s="13"/>
      <c r="L15" s="13"/>
      <c r="M15" s="12"/>
      <c r="Q15" s="52"/>
      <c r="R15" s="52"/>
      <c r="S15" s="52"/>
    </row>
    <row r="16" spans="1:20" ht="25.5" customHeight="1">
      <c r="A16">
        <v>14</v>
      </c>
      <c r="B16" s="3" t="s">
        <v>66</v>
      </c>
      <c r="C16" s="18" t="s">
        <v>27</v>
      </c>
      <c r="D16" s="18" t="s">
        <v>38</v>
      </c>
      <c r="E16" s="23">
        <v>20</v>
      </c>
      <c r="F16" s="43">
        <v>5000</v>
      </c>
      <c r="G16" s="42">
        <v>8000</v>
      </c>
      <c r="H16" s="14"/>
      <c r="I16" s="13"/>
      <c r="J16" s="13"/>
      <c r="K16" s="13"/>
      <c r="L16" s="13"/>
      <c r="M16" s="12"/>
      <c r="Q16" s="53"/>
      <c r="R16" s="53"/>
      <c r="S16" s="53"/>
    </row>
    <row r="17" spans="1:19" ht="25.5" customHeight="1">
      <c r="A17">
        <v>15</v>
      </c>
      <c r="B17" s="3" t="s">
        <v>67</v>
      </c>
      <c r="C17" s="18" t="s">
        <v>28</v>
      </c>
      <c r="D17" s="18" t="s">
        <v>38</v>
      </c>
      <c r="E17" s="22">
        <v>20</v>
      </c>
      <c r="F17" s="43">
        <v>5000</v>
      </c>
      <c r="G17" s="42">
        <v>8000</v>
      </c>
      <c r="H17" s="14"/>
      <c r="I17" s="13"/>
      <c r="J17" s="13"/>
      <c r="K17" s="13"/>
      <c r="L17" s="13"/>
      <c r="M17" s="12"/>
      <c r="Q17" s="52"/>
      <c r="R17" s="52"/>
      <c r="S17" s="52"/>
    </row>
    <row r="18" spans="1:19" ht="25.5" customHeight="1">
      <c r="A18">
        <v>16</v>
      </c>
      <c r="B18" s="3" t="s">
        <v>68</v>
      </c>
      <c r="C18" s="18" t="s">
        <v>29</v>
      </c>
      <c r="D18" s="18" t="s">
        <v>38</v>
      </c>
      <c r="E18" s="23">
        <v>20</v>
      </c>
      <c r="F18" s="43">
        <v>5000</v>
      </c>
      <c r="G18" s="42">
        <v>8000</v>
      </c>
      <c r="H18" s="14"/>
      <c r="I18" s="13"/>
      <c r="J18" s="13"/>
      <c r="K18" s="13"/>
      <c r="L18" s="13"/>
      <c r="M18" s="12"/>
      <c r="Q18" s="53"/>
      <c r="R18" s="53"/>
      <c r="S18" s="53"/>
    </row>
    <row r="19" spans="1:19" ht="25.5" customHeight="1">
      <c r="A19">
        <v>17</v>
      </c>
      <c r="B19" s="3" t="s">
        <v>69</v>
      </c>
      <c r="C19" s="18" t="s">
        <v>30</v>
      </c>
      <c r="D19" s="18" t="s">
        <v>38</v>
      </c>
      <c r="E19" s="22">
        <v>20</v>
      </c>
      <c r="F19" s="43">
        <v>5000</v>
      </c>
      <c r="G19" s="42">
        <v>8000</v>
      </c>
      <c r="H19" s="14"/>
      <c r="I19" s="13"/>
      <c r="J19" s="13"/>
      <c r="K19" s="13"/>
      <c r="L19" s="13"/>
      <c r="M19" s="12"/>
      <c r="Q19" s="52"/>
      <c r="R19" s="52"/>
      <c r="S19" s="52"/>
    </row>
    <row r="20" spans="1:19" ht="25.5" customHeight="1">
      <c r="A20">
        <v>18</v>
      </c>
      <c r="B20" s="3" t="s">
        <v>70</v>
      </c>
      <c r="C20" s="18" t="s">
        <v>31</v>
      </c>
      <c r="D20" s="18" t="s">
        <v>38</v>
      </c>
      <c r="E20" s="23">
        <v>20</v>
      </c>
      <c r="F20" s="43">
        <v>5000</v>
      </c>
      <c r="G20" s="42">
        <v>8000</v>
      </c>
      <c r="H20" s="14"/>
      <c r="I20" s="13"/>
      <c r="J20" s="13"/>
      <c r="K20" s="13"/>
      <c r="L20" s="13"/>
      <c r="M20" s="12"/>
      <c r="Q20" s="53"/>
      <c r="R20" s="53"/>
      <c r="S20" s="53"/>
    </row>
    <row r="21" spans="1:19" ht="25.5" customHeight="1">
      <c r="A21">
        <v>19</v>
      </c>
      <c r="B21" s="3" t="s">
        <v>71</v>
      </c>
      <c r="C21" s="18" t="s">
        <v>32</v>
      </c>
      <c r="D21" s="18" t="s">
        <v>38</v>
      </c>
      <c r="E21" s="22">
        <v>15</v>
      </c>
      <c r="F21" s="43">
        <v>5000</v>
      </c>
      <c r="G21" s="42">
        <v>8000</v>
      </c>
      <c r="H21" s="14"/>
      <c r="I21" s="13"/>
      <c r="J21" s="13"/>
      <c r="K21" s="13"/>
      <c r="L21" s="13"/>
      <c r="M21" s="12"/>
      <c r="Q21" s="52"/>
      <c r="R21" s="52"/>
      <c r="S21" s="52"/>
    </row>
    <row r="22" spans="1:19" ht="25.5" customHeight="1">
      <c r="A22">
        <v>20</v>
      </c>
      <c r="B22" s="3" t="s">
        <v>72</v>
      </c>
      <c r="C22" s="18" t="s">
        <v>33</v>
      </c>
      <c r="D22" s="18" t="s">
        <v>38</v>
      </c>
      <c r="E22" s="23">
        <v>15</v>
      </c>
      <c r="F22" s="43">
        <v>5000</v>
      </c>
      <c r="G22" s="42">
        <v>8000</v>
      </c>
      <c r="H22" s="14"/>
      <c r="I22" s="13"/>
      <c r="J22" s="13"/>
      <c r="K22" s="13"/>
      <c r="L22" s="13"/>
      <c r="M22" s="12"/>
      <c r="Q22" s="53"/>
      <c r="R22" s="53"/>
      <c r="S22" s="53"/>
    </row>
    <row r="23" spans="1:19" ht="25.5" customHeight="1">
      <c r="A23" s="49">
        <v>21</v>
      </c>
      <c r="B23" s="3" t="s">
        <v>73</v>
      </c>
      <c r="C23" s="18"/>
      <c r="D23" s="18"/>
      <c r="E23" s="14"/>
      <c r="F23" s="46"/>
      <c r="G23" s="46"/>
      <c r="H23" s="14"/>
      <c r="I23" s="13"/>
      <c r="J23" s="13"/>
      <c r="K23" s="13"/>
      <c r="L23" s="13"/>
      <c r="M23" s="12"/>
      <c r="Q23" s="52"/>
      <c r="R23" s="52"/>
      <c r="S23" s="52"/>
    </row>
    <row r="24" spans="1:19" ht="25.5" customHeight="1">
      <c r="A24" s="49">
        <v>22</v>
      </c>
      <c r="B24" s="3" t="s">
        <v>74</v>
      </c>
      <c r="C24" s="18"/>
      <c r="D24" s="18"/>
      <c r="E24" s="14"/>
      <c r="F24" s="46"/>
      <c r="G24" s="46"/>
      <c r="H24" s="14"/>
      <c r="I24" s="13"/>
      <c r="J24" s="13"/>
      <c r="K24" s="13"/>
      <c r="L24" s="13"/>
      <c r="M24" s="12"/>
      <c r="Q24" s="53"/>
      <c r="R24" s="53"/>
      <c r="S24" s="53"/>
    </row>
    <row r="25" spans="1:19" ht="25.5" customHeight="1">
      <c r="A25" s="49">
        <v>23</v>
      </c>
      <c r="B25" s="3" t="s">
        <v>75</v>
      </c>
      <c r="C25" s="18"/>
      <c r="D25" s="18"/>
      <c r="E25" s="14"/>
      <c r="F25" s="46"/>
      <c r="G25" s="46"/>
      <c r="H25" s="14"/>
      <c r="I25" s="13"/>
      <c r="J25" s="13"/>
      <c r="K25" s="13"/>
      <c r="L25" s="13"/>
      <c r="M25" s="12"/>
      <c r="Q25" s="52"/>
      <c r="R25" s="52"/>
      <c r="S25" s="52"/>
    </row>
    <row r="26" spans="1:19" ht="25.5" customHeight="1">
      <c r="A26" s="49">
        <v>24</v>
      </c>
      <c r="B26" s="3" t="s">
        <v>76</v>
      </c>
      <c r="C26" s="18"/>
      <c r="D26" s="18"/>
      <c r="E26" s="14"/>
      <c r="F26" s="46"/>
      <c r="G26" s="46"/>
      <c r="H26" s="14"/>
      <c r="I26" s="13"/>
      <c r="J26" s="13"/>
      <c r="K26" s="13"/>
      <c r="L26" s="13"/>
      <c r="M26" s="12"/>
      <c r="Q26" s="53"/>
      <c r="R26" s="53"/>
      <c r="S26" s="53"/>
    </row>
    <row r="27" spans="1:19" ht="25.5" customHeight="1">
      <c r="A27" s="49">
        <v>25</v>
      </c>
      <c r="B27" s="3" t="s">
        <v>77</v>
      </c>
      <c r="C27" s="18"/>
      <c r="D27" s="18"/>
      <c r="E27" s="14"/>
      <c r="F27" s="46"/>
      <c r="G27" s="46"/>
      <c r="H27" s="14"/>
      <c r="I27" s="13"/>
      <c r="J27" s="13"/>
      <c r="K27" s="13"/>
      <c r="L27" s="13"/>
      <c r="M27" s="12"/>
      <c r="Q27" s="52"/>
      <c r="R27" s="52"/>
      <c r="S27" s="52"/>
    </row>
    <row r="28" spans="1:19" ht="25.5" customHeight="1">
      <c r="A28" s="49">
        <v>26</v>
      </c>
      <c r="B28" s="3" t="s">
        <v>78</v>
      </c>
      <c r="C28" s="14"/>
      <c r="D28" s="14"/>
      <c r="E28" s="15"/>
      <c r="F28" s="46"/>
      <c r="G28" s="46"/>
      <c r="H28" s="14"/>
      <c r="I28" s="13"/>
      <c r="J28" s="13"/>
      <c r="K28" s="13"/>
      <c r="L28" s="13"/>
      <c r="M28" s="12"/>
      <c r="Q28" s="53"/>
      <c r="R28" s="53"/>
      <c r="S28" s="53"/>
    </row>
    <row r="29" spans="1:19" ht="25.5" customHeight="1">
      <c r="A29" s="49">
        <v>27</v>
      </c>
      <c r="B29" s="3" t="s">
        <v>79</v>
      </c>
      <c r="C29" s="14"/>
      <c r="D29" s="14"/>
      <c r="E29" s="15"/>
      <c r="F29" s="46"/>
      <c r="G29" s="46"/>
      <c r="H29" s="14"/>
      <c r="I29" s="13"/>
      <c r="J29" s="13"/>
      <c r="K29" s="13"/>
      <c r="L29" s="13"/>
      <c r="M29" s="12"/>
      <c r="Q29" s="52"/>
      <c r="R29" s="52"/>
      <c r="S29" s="52"/>
    </row>
    <row r="30" spans="1:19" ht="25.5" customHeight="1">
      <c r="A30" s="49">
        <v>28</v>
      </c>
      <c r="B30" s="3" t="s">
        <v>80</v>
      </c>
      <c r="C30" s="14"/>
      <c r="D30" s="14"/>
      <c r="E30" s="15"/>
      <c r="F30" s="46"/>
      <c r="G30" s="46"/>
      <c r="H30" s="14"/>
      <c r="I30" s="13"/>
      <c r="J30" s="13"/>
      <c r="K30" s="13"/>
      <c r="L30" s="13"/>
      <c r="M30" s="12"/>
      <c r="Q30" s="53"/>
      <c r="R30" s="53"/>
      <c r="S30" s="53"/>
    </row>
    <row r="31" spans="1:19" ht="25.5" customHeight="1">
      <c r="A31" s="49">
        <v>29</v>
      </c>
      <c r="B31" s="3" t="s">
        <v>81</v>
      </c>
      <c r="C31" s="14"/>
      <c r="D31" s="14"/>
      <c r="E31" s="15"/>
      <c r="F31" s="46"/>
      <c r="G31" s="46"/>
      <c r="H31" s="14"/>
      <c r="I31" s="13"/>
      <c r="J31" s="13"/>
      <c r="K31" s="13"/>
      <c r="L31" s="13"/>
      <c r="M31" s="12"/>
      <c r="Q31" s="52"/>
      <c r="R31" s="52"/>
      <c r="S31" s="52"/>
    </row>
    <row r="32" spans="1:19" ht="25.5" customHeight="1">
      <c r="A32" s="49">
        <v>30</v>
      </c>
      <c r="B32" s="3" t="s">
        <v>82</v>
      </c>
      <c r="C32" s="14"/>
      <c r="D32" s="14"/>
      <c r="E32" s="15"/>
      <c r="F32" s="46"/>
      <c r="G32" s="46"/>
      <c r="H32" s="14"/>
      <c r="I32" s="13"/>
      <c r="J32" s="13"/>
      <c r="K32" s="13"/>
      <c r="L32" s="13"/>
      <c r="M32" s="12"/>
      <c r="Q32" s="53"/>
      <c r="R32" s="53"/>
      <c r="S32" s="53"/>
    </row>
    <row r="33" spans="1:20" ht="25.5" customHeight="1">
      <c r="A33" s="49">
        <v>31</v>
      </c>
      <c r="B33" s="3" t="s">
        <v>83</v>
      </c>
      <c r="C33" s="14"/>
      <c r="D33" s="14"/>
      <c r="E33" s="15"/>
      <c r="F33" s="46"/>
      <c r="G33" s="46"/>
      <c r="H33" s="14"/>
      <c r="I33" s="13"/>
      <c r="J33" s="13"/>
      <c r="K33" s="13"/>
      <c r="L33" s="13"/>
      <c r="M33" s="12"/>
      <c r="Q33" s="52"/>
      <c r="R33" s="52"/>
      <c r="S33" s="52"/>
    </row>
    <row r="34" spans="1:20" ht="25.5" customHeight="1">
      <c r="A34" s="49">
        <v>32</v>
      </c>
      <c r="B34" s="3" t="s">
        <v>84</v>
      </c>
      <c r="C34" s="14"/>
      <c r="D34" s="14"/>
      <c r="E34" s="15"/>
      <c r="F34" s="46"/>
      <c r="G34" s="46"/>
      <c r="H34" s="14"/>
      <c r="I34" s="13"/>
      <c r="J34" s="13"/>
      <c r="K34" s="13"/>
      <c r="L34" s="13"/>
      <c r="M34" s="12"/>
      <c r="Q34" s="53"/>
      <c r="R34" s="53"/>
      <c r="S34" s="53"/>
    </row>
    <row r="35" spans="1:20" ht="25.5" customHeight="1">
      <c r="A35" s="49">
        <v>33</v>
      </c>
      <c r="B35" s="3" t="s">
        <v>85</v>
      </c>
      <c r="C35" s="14"/>
      <c r="D35" s="14"/>
      <c r="E35" s="15"/>
      <c r="F35" s="46"/>
      <c r="G35" s="46"/>
      <c r="H35" s="14"/>
      <c r="I35" s="13"/>
      <c r="J35" s="13"/>
      <c r="K35" s="13"/>
      <c r="L35" s="13"/>
      <c r="M35" s="12"/>
    </row>
    <row r="36" spans="1:20" ht="25.5" customHeight="1">
      <c r="A36" s="49"/>
      <c r="B36" s="3"/>
      <c r="C36" s="14"/>
      <c r="D36" s="14"/>
      <c r="E36" s="15"/>
      <c r="F36" s="46"/>
      <c r="G36" s="46"/>
      <c r="H36" s="14"/>
      <c r="I36" s="13"/>
      <c r="J36" s="13"/>
      <c r="K36" s="13"/>
      <c r="L36" s="13"/>
      <c r="M36" s="12"/>
    </row>
    <row r="37" spans="1:20" ht="25.5" customHeight="1">
      <c r="A37" s="49"/>
      <c r="B37" s="3"/>
      <c r="C37" s="14"/>
      <c r="D37" s="14"/>
      <c r="E37" s="15"/>
      <c r="F37" s="46"/>
      <c r="G37" s="46"/>
      <c r="H37" s="14"/>
      <c r="I37" s="13"/>
      <c r="J37" s="13"/>
      <c r="K37" s="13"/>
      <c r="L37" s="13"/>
      <c r="M37" s="12"/>
    </row>
    <row r="38" spans="1:20" ht="25.5" customHeight="1">
      <c r="A38" s="49"/>
      <c r="B38" s="3"/>
      <c r="C38" s="14"/>
      <c r="D38" s="14"/>
      <c r="E38" s="14"/>
      <c r="F38" s="46"/>
      <c r="G38" s="46"/>
      <c r="H38" s="14"/>
      <c r="I38" s="13"/>
      <c r="J38" s="13"/>
      <c r="K38" s="13"/>
      <c r="L38" s="13"/>
      <c r="M38" s="12"/>
    </row>
    <row r="39" spans="1:20" ht="25.5" customHeight="1">
      <c r="A39" s="49"/>
      <c r="B39" s="3"/>
      <c r="C39" s="14"/>
      <c r="D39" s="14"/>
      <c r="E39" s="15"/>
      <c r="F39" s="46"/>
      <c r="G39" s="46"/>
      <c r="H39" s="14"/>
      <c r="I39" s="13"/>
      <c r="J39" s="13"/>
      <c r="K39" s="13"/>
      <c r="L39" s="13"/>
      <c r="M39" s="12"/>
    </row>
    <row r="40" spans="1:20" ht="25.5" customHeight="1">
      <c r="A40" s="49"/>
      <c r="B40" s="3"/>
      <c r="C40" s="14"/>
      <c r="D40" s="14"/>
      <c r="E40" s="15"/>
      <c r="F40" s="46"/>
      <c r="G40" s="46"/>
      <c r="H40" s="14"/>
      <c r="I40" s="13"/>
      <c r="J40" s="13"/>
      <c r="K40" s="13"/>
      <c r="L40" s="13"/>
      <c r="M40" s="12"/>
    </row>
    <row r="41" spans="1:20" ht="25.5" customHeight="1">
      <c r="A41" s="49"/>
      <c r="B41" s="3"/>
      <c r="C41" s="14"/>
      <c r="D41" s="14"/>
      <c r="E41" s="15"/>
      <c r="F41" s="46"/>
      <c r="G41" s="46"/>
      <c r="H41" s="14"/>
      <c r="I41" s="13"/>
      <c r="J41" s="13"/>
      <c r="K41" s="13"/>
      <c r="L41" s="13"/>
      <c r="M41" s="12"/>
    </row>
    <row r="42" spans="1:20" ht="25.5" customHeight="1">
      <c r="A42" s="49"/>
      <c r="B42" s="3"/>
      <c r="C42" s="14"/>
      <c r="D42" s="14"/>
      <c r="E42" s="15"/>
      <c r="F42" s="14"/>
      <c r="G42" s="14"/>
      <c r="H42" s="14"/>
      <c r="I42" s="13"/>
      <c r="J42" s="13"/>
      <c r="K42" s="13"/>
      <c r="L42" s="13"/>
      <c r="M42" s="12"/>
    </row>
    <row r="43" spans="1:20" ht="25.5" customHeight="1">
      <c r="A43" s="49"/>
      <c r="B43" s="3"/>
      <c r="C43" s="14"/>
      <c r="D43" s="14"/>
      <c r="E43" s="15"/>
      <c r="F43" s="14"/>
      <c r="G43" s="14"/>
      <c r="H43" s="14"/>
      <c r="I43" s="13"/>
      <c r="J43" s="13"/>
      <c r="K43" s="13"/>
      <c r="L43" s="13"/>
      <c r="M43" s="12"/>
    </row>
    <row r="44" spans="1:20" ht="25.5" customHeight="1">
      <c r="A44" s="49"/>
      <c r="B44" s="3"/>
      <c r="C44" s="14"/>
      <c r="D44" s="14"/>
      <c r="E44" s="15"/>
      <c r="F44" s="14"/>
      <c r="G44" s="16"/>
      <c r="H44" s="14"/>
      <c r="I44" s="13"/>
      <c r="J44" s="13"/>
      <c r="K44" s="13"/>
      <c r="L44" s="13"/>
      <c r="M44" s="12"/>
    </row>
    <row r="45" spans="1:20" ht="25.5" customHeight="1">
      <c r="A45" s="49"/>
      <c r="B45" s="3"/>
      <c r="C45" s="14"/>
      <c r="D45" s="14"/>
      <c r="E45" s="15"/>
      <c r="F45" s="14"/>
      <c r="G45" s="14"/>
      <c r="H45" s="14"/>
      <c r="I45" s="13"/>
      <c r="J45" s="13"/>
      <c r="K45" s="13"/>
      <c r="L45" s="13"/>
      <c r="M45" s="12"/>
    </row>
    <row r="46" spans="1:20" ht="25.5" customHeight="1">
      <c r="A46" s="49"/>
      <c r="B46" s="3"/>
      <c r="C46" s="14"/>
      <c r="D46" s="14"/>
      <c r="E46" s="15"/>
      <c r="F46" s="14"/>
      <c r="G46" s="14"/>
      <c r="H46" s="14"/>
      <c r="I46" s="13"/>
      <c r="J46" s="13"/>
      <c r="K46" s="13"/>
      <c r="L46" s="13"/>
      <c r="M46" s="12"/>
    </row>
    <row r="47" spans="1:20" ht="25.5" customHeight="1">
      <c r="A47" s="49"/>
      <c r="B47" s="3"/>
      <c r="C47" s="14"/>
      <c r="D47" s="14"/>
      <c r="E47" s="15"/>
      <c r="F47" s="14"/>
      <c r="G47" s="14"/>
      <c r="H47" s="14"/>
      <c r="I47" s="13"/>
      <c r="J47" s="13"/>
      <c r="K47" s="13"/>
      <c r="L47" s="13"/>
      <c r="M47" s="12"/>
      <c r="Q47"/>
      <c r="R47"/>
      <c r="S47"/>
      <c r="T47"/>
    </row>
    <row r="48" spans="1:20" ht="25.5" customHeight="1">
      <c r="A48" s="49"/>
      <c r="B48" s="3"/>
      <c r="C48" s="14"/>
      <c r="D48" s="14"/>
      <c r="E48" s="15"/>
      <c r="F48" s="14"/>
      <c r="G48" s="16"/>
      <c r="H48" s="14"/>
      <c r="I48" s="13"/>
      <c r="J48" s="13"/>
      <c r="K48" s="13"/>
      <c r="L48" s="13"/>
      <c r="M48" s="12"/>
    </row>
    <row r="49" spans="1:16" ht="25.5" customHeight="1">
      <c r="A49" s="49"/>
      <c r="B49" s="3"/>
      <c r="C49" s="14"/>
      <c r="D49" s="14"/>
      <c r="E49" s="15"/>
      <c r="F49" s="14"/>
      <c r="G49" s="16"/>
      <c r="H49" s="14"/>
      <c r="I49" s="13"/>
      <c r="J49" s="13"/>
      <c r="K49" s="13"/>
      <c r="L49" s="13"/>
      <c r="M49" s="12"/>
    </row>
    <row r="50" spans="1:16" ht="25.5" customHeight="1">
      <c r="A50" s="49"/>
      <c r="B50" s="13"/>
      <c r="C50" s="13"/>
      <c r="D50" s="14"/>
      <c r="E50" s="58"/>
      <c r="F50" s="59"/>
      <c r="G50" s="16"/>
      <c r="H50" s="13"/>
      <c r="I50" s="13"/>
      <c r="J50" s="13"/>
      <c r="K50" s="13"/>
      <c r="L50" s="13"/>
      <c r="M50" s="60"/>
    </row>
    <row r="51" spans="1:16" ht="25.5" customHeight="1">
      <c r="A51" s="49"/>
      <c r="B51" s="13"/>
      <c r="C51" s="13"/>
      <c r="D51" s="14"/>
      <c r="E51" s="58"/>
      <c r="F51" s="59"/>
      <c r="G51" s="16"/>
      <c r="H51" s="13"/>
      <c r="I51" s="13"/>
      <c r="J51" s="13"/>
      <c r="K51" s="13"/>
      <c r="L51" s="13"/>
      <c r="M51" s="60"/>
      <c r="O51"/>
      <c r="P51"/>
    </row>
    <row r="52" spans="1:16" ht="25.5" customHeight="1"/>
  </sheetData>
  <mergeCells count="1">
    <mergeCell ref="B1:L1"/>
  </mergeCells>
  <printOptions horizontalCentered="1"/>
  <pageMargins left="0.39370078740157483" right="0.39370078740157483" top="0.39370078740157483" bottom="0.59055118110236227" header="0.31496062992125984" footer="0.31496062992125984"/>
  <pageSetup paperSize="3" orientation="landscape" r:id="rId1"/>
  <drawing r:id="rId2"/>
  <legacyDrawing r:id="rId3"/>
  <controls>
    <control shapeId="1030" r:id="rId4" name="CommandButton3"/>
  </controls>
  <tableParts count="3"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H19"/>
  <sheetViews>
    <sheetView workbookViewId="0">
      <selection activeCell="F5" sqref="F5:H6"/>
    </sheetView>
  </sheetViews>
  <sheetFormatPr defaultRowHeight="15"/>
  <cols>
    <col min="3" max="3" width="9.28515625" customWidth="1"/>
  </cols>
  <sheetData>
    <row r="1" spans="1:8" ht="15.75" thickTop="1">
      <c r="A1" s="74" t="s">
        <v>44</v>
      </c>
      <c r="B1" s="75"/>
      <c r="C1" s="75"/>
      <c r="D1" s="75"/>
      <c r="E1" s="75"/>
      <c r="F1" s="75"/>
      <c r="G1" s="75"/>
      <c r="H1" s="76"/>
    </row>
    <row r="2" spans="1:8" ht="15.75" thickBot="1">
      <c r="A2" s="77"/>
      <c r="B2" s="78"/>
      <c r="C2" s="78"/>
      <c r="D2" s="78"/>
      <c r="E2" s="78"/>
      <c r="F2" s="78"/>
      <c r="G2" s="78"/>
      <c r="H2" s="79"/>
    </row>
    <row r="3" spans="1:8" ht="15.75" customHeight="1" thickTop="1">
      <c r="A3" s="80" t="s">
        <v>50</v>
      </c>
      <c r="B3" s="82"/>
      <c r="C3" s="83"/>
      <c r="D3" s="86" t="s">
        <v>45</v>
      </c>
      <c r="E3" s="70"/>
      <c r="F3" s="71"/>
      <c r="G3" s="71"/>
      <c r="H3" s="71"/>
    </row>
    <row r="4" spans="1:8" ht="15.75" customHeight="1" thickBot="1">
      <c r="A4" s="81"/>
      <c r="B4" s="84"/>
      <c r="C4" s="85"/>
      <c r="D4" s="86"/>
      <c r="E4" s="70"/>
      <c r="F4" s="71"/>
      <c r="G4" s="71"/>
      <c r="H4" s="71"/>
    </row>
    <row r="5" spans="1:8" ht="16.5" thickTop="1" thickBot="1">
      <c r="A5" s="64">
        <v>2</v>
      </c>
      <c r="B5" s="66"/>
      <c r="C5" s="67"/>
      <c r="D5" s="70" t="s">
        <v>46</v>
      </c>
      <c r="E5" s="70"/>
      <c r="F5" s="71"/>
      <c r="G5" s="71"/>
      <c r="H5" s="71"/>
    </row>
    <row r="6" spans="1:8" ht="16.5" thickTop="1" thickBot="1">
      <c r="A6" s="65"/>
      <c r="B6" s="68"/>
      <c r="C6" s="69"/>
      <c r="D6" s="70"/>
      <c r="E6" s="70"/>
      <c r="F6" s="71"/>
      <c r="G6" s="71"/>
      <c r="H6" s="71"/>
    </row>
    <row r="7" spans="1:8" ht="16.5" thickTop="1" thickBot="1">
      <c r="A7" s="72"/>
      <c r="B7" s="62"/>
      <c r="C7" s="62"/>
      <c r="D7" s="62"/>
      <c r="E7" s="62"/>
      <c r="F7" s="62"/>
      <c r="G7" s="62"/>
      <c r="H7" s="62"/>
    </row>
    <row r="8" spans="1:8">
      <c r="A8" s="62"/>
      <c r="B8" s="28" t="s">
        <v>47</v>
      </c>
      <c r="C8" s="29" t="s">
        <v>41</v>
      </c>
      <c r="D8" s="29" t="s">
        <v>48</v>
      </c>
      <c r="E8" s="29" t="s">
        <v>42</v>
      </c>
      <c r="F8" s="30" t="s">
        <v>43</v>
      </c>
      <c r="G8" s="31" t="s">
        <v>49</v>
      </c>
      <c r="H8" s="73"/>
    </row>
    <row r="9" spans="1:8">
      <c r="A9" s="62"/>
      <c r="B9" s="32">
        <v>99150212</v>
      </c>
      <c r="C9" s="33" t="e">
        <f>IF(ISBLANK(B9),"",VLOOKUP(B9,[1]Toko!$B$8:$H$278,3,FALSE))</f>
        <v>#N/A</v>
      </c>
      <c r="D9" s="33" t="e">
        <f>IF(ISBLANK(B9),"",VLOOKUP(B9,[1]Toko!$B$8:$H$278,4,FALSE))</f>
        <v>#N/A</v>
      </c>
      <c r="E9" s="33">
        <v>3</v>
      </c>
      <c r="F9" s="34" t="e">
        <f>IF(ISBLANK(B9),"",VLOOKUP(B9,[1]Toko!$B$8:$H$278,7,FALSE))</f>
        <v>#N/A</v>
      </c>
      <c r="G9" s="35" t="str">
        <f t="shared" ref="G9:G15" si="0">IFERROR(E9*F9,"")</f>
        <v/>
      </c>
      <c r="H9" s="73"/>
    </row>
    <row r="10" spans="1:8">
      <c r="A10" s="62"/>
      <c r="B10" s="32">
        <v>99150215</v>
      </c>
      <c r="C10" s="33" t="e">
        <f>IF(ISBLANK(B10),"",VLOOKUP(B10,[1]Toko!$B$8:$H$278,3,FALSE))</f>
        <v>#N/A</v>
      </c>
      <c r="D10" s="33" t="e">
        <f>IF(ISBLANK(B10),"",VLOOKUP(B10,[1]Toko!$B$8:$H$278,4,FALSE))</f>
        <v>#N/A</v>
      </c>
      <c r="E10" s="33">
        <v>1</v>
      </c>
      <c r="F10" s="34" t="e">
        <f>IF(ISBLANK(B10),"",VLOOKUP(B10,[1]Toko!$B$8:$H$278,7,FALSE))</f>
        <v>#N/A</v>
      </c>
      <c r="G10" s="35" t="str">
        <f t="shared" si="0"/>
        <v/>
      </c>
      <c r="H10" s="73"/>
    </row>
    <row r="11" spans="1:8">
      <c r="A11" s="62"/>
      <c r="B11" s="32"/>
      <c r="C11" s="33"/>
      <c r="D11" s="33"/>
      <c r="E11" s="33"/>
      <c r="F11" s="34"/>
      <c r="G11" s="35">
        <f t="shared" si="0"/>
        <v>0</v>
      </c>
      <c r="H11" s="73"/>
    </row>
    <row r="12" spans="1:8">
      <c r="A12" s="62"/>
      <c r="B12" s="32"/>
      <c r="C12" s="33" t="str">
        <f>IF(ISBLANK(B12),"",VLOOKUP(B12,[1]Toko!$B$8:$H$278,3,FALSE))</f>
        <v/>
      </c>
      <c r="D12" s="33" t="str">
        <f>IF(ISBLANK(B12),"",VLOOKUP(B12,[1]Toko!$B$8:$H$278,4,FALSE))</f>
        <v/>
      </c>
      <c r="E12" s="33"/>
      <c r="F12" s="34" t="str">
        <f>IF(ISBLANK(B12),"",VLOOKUP(B12,[1]Toko!$B$8:$H$278,7,FALSE))</f>
        <v/>
      </c>
      <c r="G12" s="35" t="str">
        <f t="shared" si="0"/>
        <v/>
      </c>
      <c r="H12" s="73"/>
    </row>
    <row r="13" spans="1:8">
      <c r="A13" s="62"/>
      <c r="B13" s="32"/>
      <c r="C13" s="33" t="str">
        <f>IF(ISBLANK(B13),"",VLOOKUP(B13,[1]Toko!$B$8:$H$278,3,FALSE))</f>
        <v/>
      </c>
      <c r="D13" s="33" t="str">
        <f>IF(ISBLANK(B13),"",VLOOKUP(B13,[1]Toko!$B$8:$H$278,4,FALSE))</f>
        <v/>
      </c>
      <c r="E13" s="33"/>
      <c r="F13" s="34" t="str">
        <f>IF(ISBLANK(B13),"",VLOOKUP(B13,[1]Toko!$B$8:$H$278,7,FALSE))</f>
        <v/>
      </c>
      <c r="G13" s="35" t="str">
        <f t="shared" si="0"/>
        <v/>
      </c>
      <c r="H13" s="73"/>
    </row>
    <row r="14" spans="1:8">
      <c r="A14" s="62"/>
      <c r="B14" s="32"/>
      <c r="C14" s="33" t="str">
        <f>IF(ISBLANK(B14),"",VLOOKUP(B14,[1]Toko!$B$8:$H$278,3,FALSE))</f>
        <v/>
      </c>
      <c r="D14" s="33" t="str">
        <f>IF(ISBLANK(B14),"",VLOOKUP(B14,[1]Toko!$B$8:$H$278,4,FALSE))</f>
        <v/>
      </c>
      <c r="E14" s="33"/>
      <c r="F14" s="34" t="str">
        <f>IF(ISBLANK(B14),"",VLOOKUP(B14,[1]Toko!$B$8:$H$278,7,FALSE))</f>
        <v/>
      </c>
      <c r="G14" s="35" t="str">
        <f t="shared" si="0"/>
        <v/>
      </c>
      <c r="H14" s="73"/>
    </row>
    <row r="15" spans="1:8" ht="15.75" thickBot="1">
      <c r="A15" s="62"/>
      <c r="B15" s="36"/>
      <c r="C15" s="37" t="str">
        <f>IF(ISBLANK(B15),"",VLOOKUP(B15,[1]Toko!$B$8:$H$278,3,FALSE))</f>
        <v/>
      </c>
      <c r="D15" s="37" t="str">
        <f>IF(ISBLANK(B15),"",VLOOKUP(B15,[1]Toko!$B$8:$H$278,4,FALSE))</f>
        <v/>
      </c>
      <c r="E15" s="37"/>
      <c r="F15" s="38" t="str">
        <f>IF(ISBLANK(B15),"",VLOOKUP(B15,[1]Toko!$B$8:$H$278,7,FALSE))</f>
        <v/>
      </c>
      <c r="G15" s="39" t="str">
        <f t="shared" si="0"/>
        <v/>
      </c>
      <c r="H15" s="73"/>
    </row>
    <row r="16" spans="1:8">
      <c r="A16" s="62"/>
      <c r="B16" s="62"/>
      <c r="C16" s="62"/>
      <c r="D16" s="62">
        <v>2</v>
      </c>
      <c r="E16" s="62"/>
      <c r="F16" s="63">
        <v>8</v>
      </c>
      <c r="G16" s="63"/>
      <c r="H16" s="40"/>
    </row>
    <row r="17" spans="1:8">
      <c r="A17" s="62"/>
      <c r="B17" s="62"/>
      <c r="C17" s="62"/>
      <c r="D17" s="62"/>
      <c r="E17" s="62"/>
      <c r="F17" s="63"/>
      <c r="G17" s="63"/>
      <c r="H17" s="40"/>
    </row>
    <row r="18" spans="1:8">
      <c r="A18" s="62"/>
      <c r="B18" s="62"/>
      <c r="C18" s="62"/>
      <c r="D18" s="41"/>
      <c r="E18" s="41"/>
      <c r="F18" s="41"/>
      <c r="G18" s="41"/>
      <c r="H18" s="62"/>
    </row>
    <row r="19" spans="1:8">
      <c r="A19" s="62"/>
      <c r="B19" s="62"/>
      <c r="C19" s="62"/>
      <c r="D19" s="41"/>
      <c r="E19" s="41"/>
      <c r="F19" s="41"/>
      <c r="G19" s="41"/>
      <c r="H19" s="62"/>
    </row>
  </sheetData>
  <mergeCells count="16">
    <mergeCell ref="A1:H2"/>
    <mergeCell ref="A3:A4"/>
    <mergeCell ref="B3:C4"/>
    <mergeCell ref="D3:E4"/>
    <mergeCell ref="F3:H4"/>
    <mergeCell ref="A16:C19"/>
    <mergeCell ref="D16:E17"/>
    <mergeCell ref="F16:G17"/>
    <mergeCell ref="H18:H19"/>
    <mergeCell ref="A5:A6"/>
    <mergeCell ref="B5:C6"/>
    <mergeCell ref="D5:E6"/>
    <mergeCell ref="F5:H6"/>
    <mergeCell ref="A7:A15"/>
    <mergeCell ref="B7:H7"/>
    <mergeCell ref="H8:H15"/>
  </mergeCells>
  <pageMargins left="0.7" right="0.7" top="0.75" bottom="0.75" header="0.3" footer="0.3"/>
  <pageSetup paperSize="9" orientation="portrait" horizontalDpi="4294967293" r:id="rId1"/>
  <legacyDrawing r:id="rId2"/>
  <controls>
    <control shapeId="5121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G45"/>
  <sheetViews>
    <sheetView workbookViewId="0">
      <selection activeCell="H12" sqref="H12"/>
    </sheetView>
  </sheetViews>
  <sheetFormatPr defaultRowHeight="15"/>
  <cols>
    <col min="1" max="1" width="5.140625" customWidth="1"/>
    <col min="2" max="2" width="15.85546875" customWidth="1"/>
    <col min="3" max="3" width="14.140625" customWidth="1"/>
    <col min="4" max="4" width="7.7109375" customWidth="1"/>
    <col min="5" max="5" width="22" customWidth="1"/>
    <col min="6" max="6" width="16.85546875" customWidth="1"/>
    <col min="7" max="7" width="13" customWidth="1"/>
  </cols>
  <sheetData>
    <row r="1" spans="1:7" ht="26.25">
      <c r="A1" s="87" t="s">
        <v>51</v>
      </c>
      <c r="B1" s="87"/>
      <c r="C1" s="87"/>
      <c r="D1" s="87"/>
      <c r="E1" s="87"/>
      <c r="F1" s="87"/>
      <c r="G1" s="87"/>
    </row>
    <row r="2" spans="1:7" ht="21.75" customHeight="1">
      <c r="A2" s="24" t="s">
        <v>39</v>
      </c>
      <c r="B2" s="24" t="s">
        <v>40</v>
      </c>
      <c r="C2" s="24" t="s">
        <v>41</v>
      </c>
      <c r="D2" s="24" t="s">
        <v>42</v>
      </c>
      <c r="E2" s="25" t="s">
        <v>43</v>
      </c>
      <c r="F2" s="25" t="s">
        <v>52</v>
      </c>
      <c r="G2" s="26"/>
    </row>
    <row r="3" spans="1:7">
      <c r="A3" s="26">
        <v>1</v>
      </c>
      <c r="B3" s="26" t="s">
        <v>37</v>
      </c>
      <c r="C3" s="26" t="s">
        <v>21</v>
      </c>
      <c r="D3" s="27">
        <v>3</v>
      </c>
      <c r="E3" s="54">
        <v>8</v>
      </c>
      <c r="F3" s="54">
        <v>24</v>
      </c>
      <c r="G3" s="26"/>
    </row>
    <row r="4" spans="1:7">
      <c r="A4" s="26">
        <v>2</v>
      </c>
      <c r="B4" s="26" t="s">
        <v>37</v>
      </c>
      <c r="C4" s="26" t="s">
        <v>20</v>
      </c>
      <c r="D4" s="27">
        <v>4</v>
      </c>
      <c r="E4" s="54">
        <v>8</v>
      </c>
      <c r="F4" s="54">
        <v>32</v>
      </c>
      <c r="G4" s="26"/>
    </row>
    <row r="5" spans="1:7">
      <c r="A5" s="26">
        <v>3</v>
      </c>
      <c r="B5" s="26" t="s">
        <v>37</v>
      </c>
      <c r="C5" s="26" t="s">
        <v>20</v>
      </c>
      <c r="D5" s="27">
        <v>2</v>
      </c>
      <c r="E5" s="54">
        <v>8</v>
      </c>
      <c r="F5" s="54">
        <v>16</v>
      </c>
      <c r="G5" s="26"/>
    </row>
    <row r="6" spans="1:7">
      <c r="A6" s="26">
        <v>4</v>
      </c>
      <c r="B6" s="26"/>
      <c r="C6" s="26"/>
      <c r="D6" s="27"/>
      <c r="E6" s="54"/>
      <c r="F6" s="54"/>
      <c r="G6" s="26"/>
    </row>
    <row r="7" spans="1:7">
      <c r="A7" s="26">
        <v>5</v>
      </c>
      <c r="B7" s="26"/>
      <c r="C7" s="26"/>
      <c r="D7" s="27"/>
      <c r="E7" s="54"/>
      <c r="F7" s="54"/>
      <c r="G7" s="26"/>
    </row>
    <row r="8" spans="1:7">
      <c r="A8" s="26">
        <v>6</v>
      </c>
      <c r="B8" s="26"/>
      <c r="C8" s="26"/>
      <c r="D8" s="27"/>
      <c r="E8" s="54"/>
      <c r="F8" s="54"/>
      <c r="G8" s="26"/>
    </row>
    <row r="9" spans="1:7">
      <c r="A9" s="26">
        <v>7</v>
      </c>
      <c r="B9" s="26"/>
      <c r="C9" s="26"/>
      <c r="D9" s="27"/>
      <c r="E9" s="54"/>
      <c r="F9" s="54"/>
      <c r="G9" s="26"/>
    </row>
    <row r="10" spans="1:7">
      <c r="A10" s="26">
        <v>8</v>
      </c>
      <c r="B10" s="26"/>
      <c r="C10" s="26"/>
      <c r="D10" s="27"/>
      <c r="E10" s="54"/>
      <c r="F10" s="54"/>
      <c r="G10" s="26"/>
    </row>
    <row r="11" spans="1:7">
      <c r="A11" s="26">
        <v>9</v>
      </c>
      <c r="B11" s="26"/>
      <c r="C11" s="26"/>
      <c r="D11" s="27"/>
      <c r="E11" s="54"/>
      <c r="F11" s="54"/>
      <c r="G11" s="26"/>
    </row>
    <row r="12" spans="1:7">
      <c r="A12" s="26">
        <v>10</v>
      </c>
      <c r="B12" s="26"/>
      <c r="C12" s="26"/>
      <c r="D12" s="27"/>
      <c r="E12" s="54"/>
      <c r="F12" s="54"/>
      <c r="G12" s="26"/>
    </row>
    <row r="13" spans="1:7">
      <c r="A13" s="26">
        <v>11</v>
      </c>
      <c r="B13" s="26"/>
      <c r="C13" s="26"/>
      <c r="D13" s="27"/>
      <c r="E13" s="54"/>
      <c r="F13" s="54"/>
      <c r="G13" s="26"/>
    </row>
    <row r="14" spans="1:7">
      <c r="A14" s="26">
        <v>12</v>
      </c>
      <c r="B14" s="26"/>
      <c r="C14" s="26"/>
      <c r="D14" s="27"/>
      <c r="E14" s="54"/>
      <c r="F14" s="54"/>
      <c r="G14" s="26"/>
    </row>
    <row r="15" spans="1:7">
      <c r="A15" s="26">
        <v>13</v>
      </c>
      <c r="B15" s="26"/>
      <c r="C15" s="26"/>
      <c r="D15" s="27"/>
      <c r="E15" s="54"/>
      <c r="F15" s="54"/>
      <c r="G15" s="26"/>
    </row>
    <row r="16" spans="1:7">
      <c r="A16" s="26">
        <v>14</v>
      </c>
      <c r="B16" s="26"/>
      <c r="C16" s="26"/>
      <c r="D16" s="27"/>
      <c r="E16" s="54"/>
      <c r="F16" s="54"/>
      <c r="G16" s="26"/>
    </row>
    <row r="17" spans="1:7">
      <c r="A17" s="26">
        <v>15</v>
      </c>
      <c r="B17" s="26"/>
      <c r="C17" s="26"/>
      <c r="D17" s="27"/>
      <c r="E17" s="54"/>
      <c r="F17" s="54"/>
      <c r="G17" s="26"/>
    </row>
    <row r="18" spans="1:7">
      <c r="A18" s="26">
        <v>16</v>
      </c>
      <c r="B18" s="26"/>
      <c r="C18" s="26"/>
      <c r="D18" s="27"/>
      <c r="E18" s="54"/>
      <c r="F18" s="54"/>
      <c r="G18" s="26"/>
    </row>
    <row r="19" spans="1:7">
      <c r="A19" s="26">
        <v>17</v>
      </c>
      <c r="B19" s="26"/>
      <c r="C19" s="26"/>
      <c r="D19" s="27"/>
      <c r="E19" s="54"/>
      <c r="F19" s="54"/>
      <c r="G19" s="26"/>
    </row>
    <row r="20" spans="1:7">
      <c r="A20" s="26">
        <v>18</v>
      </c>
      <c r="B20" s="26"/>
      <c r="C20" s="26"/>
      <c r="D20" s="27"/>
      <c r="E20" s="54"/>
      <c r="F20" s="54"/>
      <c r="G20" s="26"/>
    </row>
    <row r="21" spans="1:7">
      <c r="A21" s="26">
        <v>19</v>
      </c>
      <c r="B21" s="26"/>
      <c r="C21" s="26"/>
      <c r="D21" s="27"/>
      <c r="E21" s="54"/>
      <c r="F21" s="54"/>
      <c r="G21" s="26"/>
    </row>
    <row r="22" spans="1:7">
      <c r="A22" s="26">
        <v>20</v>
      </c>
      <c r="B22" s="26"/>
      <c r="C22" s="26"/>
      <c r="D22" s="27"/>
      <c r="E22" s="54"/>
      <c r="F22" s="54"/>
      <c r="G22" s="26"/>
    </row>
    <row r="23" spans="1:7">
      <c r="A23" s="26">
        <v>21</v>
      </c>
      <c r="B23" s="26"/>
      <c r="C23" s="26"/>
      <c r="D23" s="27"/>
      <c r="E23" s="54"/>
      <c r="F23" s="54"/>
      <c r="G23" s="26"/>
    </row>
    <row r="24" spans="1:7">
      <c r="A24" s="26">
        <v>22</v>
      </c>
      <c r="B24" s="26"/>
      <c r="C24" s="26"/>
      <c r="D24" s="27"/>
      <c r="E24" s="54"/>
      <c r="F24" s="54"/>
      <c r="G24" s="26"/>
    </row>
    <row r="25" spans="1:7">
      <c r="A25" s="26">
        <v>23</v>
      </c>
      <c r="B25" s="26"/>
      <c r="C25" s="26"/>
      <c r="D25" s="27"/>
      <c r="E25" s="54"/>
      <c r="F25" s="54"/>
      <c r="G25" s="26"/>
    </row>
    <row r="26" spans="1:7">
      <c r="A26" s="26">
        <v>24</v>
      </c>
      <c r="B26" s="26"/>
      <c r="C26" s="26"/>
      <c r="D26" s="27"/>
      <c r="E26" s="54"/>
      <c r="F26" s="54"/>
      <c r="G26" s="26"/>
    </row>
    <row r="27" spans="1:7">
      <c r="A27" s="26">
        <v>25</v>
      </c>
      <c r="B27" s="26"/>
      <c r="C27" s="26"/>
      <c r="D27" s="27"/>
      <c r="E27" s="54"/>
      <c r="F27" s="54"/>
      <c r="G27" s="26"/>
    </row>
    <row r="28" spans="1:7">
      <c r="A28" s="26">
        <v>26</v>
      </c>
      <c r="B28" s="26"/>
      <c r="C28" s="26"/>
      <c r="D28" s="27"/>
      <c r="E28" s="54"/>
      <c r="F28" s="54"/>
      <c r="G28" s="26"/>
    </row>
    <row r="29" spans="1:7">
      <c r="A29" s="26">
        <v>27</v>
      </c>
      <c r="B29" s="26"/>
      <c r="C29" s="26"/>
      <c r="D29" s="27"/>
      <c r="E29" s="54"/>
      <c r="F29" s="54"/>
      <c r="G29" s="26"/>
    </row>
    <row r="30" spans="1:7">
      <c r="A30" s="26">
        <v>28</v>
      </c>
      <c r="B30" s="26"/>
      <c r="C30" s="26"/>
      <c r="D30" s="27"/>
      <c r="E30" s="54"/>
      <c r="F30" s="54"/>
      <c r="G30" s="26"/>
    </row>
    <row r="31" spans="1:7">
      <c r="A31" s="26">
        <v>29</v>
      </c>
      <c r="B31" s="26"/>
      <c r="C31" s="26"/>
      <c r="D31" s="27"/>
      <c r="E31" s="54"/>
      <c r="F31" s="54"/>
      <c r="G31" s="26"/>
    </row>
    <row r="32" spans="1:7">
      <c r="A32" s="26">
        <v>30</v>
      </c>
      <c r="B32" s="26"/>
      <c r="C32" s="26"/>
      <c r="D32" s="27"/>
      <c r="E32" s="54"/>
      <c r="F32" s="54"/>
      <c r="G32" s="26"/>
    </row>
    <row r="33" spans="1:7">
      <c r="A33" s="26">
        <v>31</v>
      </c>
      <c r="B33" s="26"/>
      <c r="C33" s="26"/>
      <c r="D33" s="27"/>
      <c r="E33" s="54"/>
      <c r="F33" s="54"/>
      <c r="G33" s="26"/>
    </row>
    <row r="34" spans="1:7">
      <c r="A34" s="26">
        <v>32</v>
      </c>
      <c r="B34" s="26"/>
      <c r="C34" s="26"/>
      <c r="D34" s="27"/>
      <c r="E34" s="54"/>
      <c r="F34" s="54"/>
      <c r="G34" s="26"/>
    </row>
    <row r="35" spans="1:7">
      <c r="A35" s="26">
        <v>33</v>
      </c>
      <c r="B35" s="26"/>
      <c r="C35" s="26"/>
      <c r="D35" s="27"/>
      <c r="E35" s="54"/>
      <c r="F35" s="54"/>
      <c r="G35" s="26"/>
    </row>
    <row r="36" spans="1:7">
      <c r="A36" s="26">
        <v>34</v>
      </c>
      <c r="B36" s="26"/>
      <c r="C36" s="26"/>
      <c r="D36" s="27"/>
      <c r="E36" s="54"/>
      <c r="F36" s="54"/>
      <c r="G36" s="26"/>
    </row>
    <row r="37" spans="1:7">
      <c r="A37" s="26">
        <v>35</v>
      </c>
      <c r="B37" s="26"/>
      <c r="C37" s="26"/>
      <c r="D37" s="27"/>
      <c r="E37" s="54"/>
      <c r="F37" s="54"/>
      <c r="G37" s="26"/>
    </row>
    <row r="38" spans="1:7">
      <c r="A38" s="26">
        <v>36</v>
      </c>
      <c r="B38" s="26"/>
      <c r="C38" s="26"/>
      <c r="D38" s="27"/>
      <c r="E38" s="54"/>
      <c r="F38" s="54"/>
      <c r="G38" s="26"/>
    </row>
    <row r="39" spans="1:7">
      <c r="A39" s="26">
        <v>37</v>
      </c>
      <c r="B39" s="26"/>
      <c r="C39" s="26"/>
      <c r="D39" s="27"/>
      <c r="E39" s="54"/>
      <c r="F39" s="54"/>
      <c r="G39" s="26"/>
    </row>
    <row r="40" spans="1:7">
      <c r="A40" s="26">
        <v>38</v>
      </c>
      <c r="B40" s="26"/>
      <c r="C40" s="26"/>
      <c r="D40" s="27"/>
      <c r="E40" s="54"/>
      <c r="F40" s="54"/>
      <c r="G40" s="26"/>
    </row>
    <row r="41" spans="1:7">
      <c r="A41" s="26">
        <v>39</v>
      </c>
      <c r="B41" s="26"/>
      <c r="C41" s="26"/>
      <c r="D41" s="27"/>
      <c r="E41" s="54"/>
      <c r="F41" s="54"/>
      <c r="G41" s="26"/>
    </row>
    <row r="42" spans="1:7">
      <c r="A42" s="26">
        <v>40</v>
      </c>
      <c r="B42" s="26"/>
      <c r="C42" s="26"/>
      <c r="D42" s="27"/>
      <c r="E42" s="54"/>
      <c r="F42" s="54"/>
      <c r="G42" s="26"/>
    </row>
    <row r="43" spans="1:7">
      <c r="A43" s="26">
        <v>41</v>
      </c>
      <c r="B43" s="26"/>
      <c r="C43" s="26"/>
      <c r="D43" s="27"/>
      <c r="E43" s="54"/>
      <c r="F43" s="54"/>
      <c r="G43" s="26"/>
    </row>
    <row r="44" spans="1:7">
      <c r="A44" s="26">
        <v>42</v>
      </c>
      <c r="B44" s="26"/>
      <c r="C44" s="26"/>
      <c r="D44" s="27"/>
      <c r="E44" s="54"/>
      <c r="F44" s="54"/>
      <c r="G44" s="26"/>
    </row>
    <row r="45" spans="1:7">
      <c r="A45" s="26">
        <v>43</v>
      </c>
      <c r="B45" s="26"/>
      <c r="C45" s="26"/>
      <c r="D45" s="27"/>
      <c r="E45" s="54"/>
      <c r="F45" s="54"/>
      <c r="G45" s="26"/>
    </row>
  </sheetData>
  <mergeCells count="1">
    <mergeCell ref="A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M26"/>
  <sheetViews>
    <sheetView workbookViewId="0">
      <selection activeCell="E12" sqref="E12"/>
    </sheetView>
  </sheetViews>
  <sheetFormatPr defaultRowHeight="15"/>
  <cols>
    <col min="1" max="1" width="11" customWidth="1"/>
    <col min="2" max="2" width="25.140625" customWidth="1"/>
    <col min="3" max="3" width="12.7109375" customWidth="1"/>
    <col min="4" max="4" width="13.28515625" customWidth="1"/>
    <col min="5" max="5" width="12.28515625" customWidth="1"/>
    <col min="6" max="6" width="18" customWidth="1"/>
    <col min="7" max="7" width="10.5703125" customWidth="1"/>
  </cols>
  <sheetData>
    <row r="1" spans="1:13">
      <c r="A1" s="55" t="s">
        <v>86</v>
      </c>
      <c r="B1" s="55" t="s">
        <v>87</v>
      </c>
      <c r="C1" s="55" t="s">
        <v>88</v>
      </c>
      <c r="D1" s="55" t="s">
        <v>89</v>
      </c>
      <c r="E1" s="55" t="s">
        <v>52</v>
      </c>
      <c r="F1" s="56" t="s">
        <v>91</v>
      </c>
      <c r="G1" s="56" t="s">
        <v>92</v>
      </c>
      <c r="H1" s="56" t="s">
        <v>93</v>
      </c>
      <c r="M1">
        <v>2</v>
      </c>
    </row>
    <row r="2" spans="1:13">
      <c r="A2" s="57" t="s">
        <v>58</v>
      </c>
      <c r="B2" s="57" t="s">
        <v>94</v>
      </c>
      <c r="C2" s="57">
        <v>3</v>
      </c>
      <c r="D2" s="57">
        <v>5000</v>
      </c>
      <c r="E2" s="57">
        <v>15000</v>
      </c>
      <c r="F2" s="57">
        <v>15000</v>
      </c>
      <c r="G2" s="57"/>
      <c r="H2" s="57"/>
    </row>
    <row r="3" spans="1:13">
      <c r="A3" s="57" t="s">
        <v>56</v>
      </c>
      <c r="B3" s="57" t="s">
        <v>17</v>
      </c>
      <c r="C3" s="57">
        <v>3</v>
      </c>
      <c r="D3" s="57">
        <v>8000</v>
      </c>
      <c r="E3" s="57">
        <v>24000</v>
      </c>
      <c r="F3" s="57">
        <v>39000</v>
      </c>
      <c r="G3" s="57"/>
      <c r="H3" s="57"/>
    </row>
    <row r="4" spans="1:13">
      <c r="A4" s="57" t="s">
        <v>60</v>
      </c>
      <c r="B4" s="57" t="s">
        <v>20</v>
      </c>
      <c r="C4" s="57">
        <v>3</v>
      </c>
      <c r="D4" s="57">
        <v>8000</v>
      </c>
      <c r="E4" s="57">
        <v>24000</v>
      </c>
      <c r="F4" s="57">
        <v>63000</v>
      </c>
      <c r="G4" s="57"/>
      <c r="H4" s="57"/>
    </row>
    <row r="5" spans="1:13">
      <c r="A5" s="57" t="s">
        <v>59</v>
      </c>
      <c r="B5" s="57" t="s">
        <v>19</v>
      </c>
      <c r="C5" s="57">
        <v>2</v>
      </c>
      <c r="D5" s="57">
        <v>8000</v>
      </c>
      <c r="E5" s="57">
        <v>16000</v>
      </c>
      <c r="F5" s="57">
        <v>79000</v>
      </c>
      <c r="G5" s="57"/>
      <c r="H5" s="57"/>
    </row>
    <row r="6" spans="1:13">
      <c r="A6" s="57" t="s">
        <v>55</v>
      </c>
      <c r="B6" s="57" t="s">
        <v>16</v>
      </c>
      <c r="C6" s="57">
        <v>5</v>
      </c>
      <c r="D6" s="57">
        <v>8000</v>
      </c>
      <c r="E6" s="57">
        <v>40000</v>
      </c>
      <c r="F6" s="57">
        <v>40000</v>
      </c>
      <c r="G6" s="57"/>
      <c r="H6" s="57"/>
    </row>
    <row r="7" spans="1:13">
      <c r="A7" s="57" t="s">
        <v>55</v>
      </c>
      <c r="B7" s="57" t="s">
        <v>16</v>
      </c>
      <c r="C7" s="57">
        <v>2</v>
      </c>
      <c r="D7" s="57">
        <v>8000</v>
      </c>
      <c r="E7" s="57">
        <v>16000</v>
      </c>
      <c r="F7" s="57">
        <v>16000</v>
      </c>
      <c r="G7" s="57"/>
      <c r="H7" s="57"/>
    </row>
    <row r="8" spans="1:13">
      <c r="A8" s="57" t="s">
        <v>59</v>
      </c>
      <c r="B8" s="57" t="s">
        <v>19</v>
      </c>
      <c r="C8" s="57">
        <v>2</v>
      </c>
      <c r="D8" s="57">
        <v>8000</v>
      </c>
      <c r="E8" s="57">
        <v>16000</v>
      </c>
      <c r="F8" s="57">
        <v>16000</v>
      </c>
      <c r="G8" s="57"/>
      <c r="H8" s="57"/>
    </row>
    <row r="9" spans="1:13">
      <c r="A9" s="57" t="s">
        <v>59</v>
      </c>
      <c r="B9" s="57" t="s">
        <v>19</v>
      </c>
      <c r="C9" s="57">
        <v>2</v>
      </c>
      <c r="D9" s="57">
        <v>8000</v>
      </c>
      <c r="E9" s="57">
        <v>16000</v>
      </c>
      <c r="F9" s="57">
        <v>32000</v>
      </c>
      <c r="G9" s="57"/>
      <c r="H9" s="57"/>
    </row>
    <row r="10" spans="1:13">
      <c r="A10" s="57" t="s">
        <v>59</v>
      </c>
      <c r="B10" s="57" t="s">
        <v>19</v>
      </c>
      <c r="C10" s="57">
        <v>2</v>
      </c>
      <c r="D10" s="57">
        <v>8000</v>
      </c>
      <c r="E10" s="57">
        <v>16000</v>
      </c>
      <c r="F10" s="57">
        <v>48000</v>
      </c>
      <c r="G10" s="57"/>
      <c r="H10" s="57"/>
    </row>
    <row r="11" spans="1:13">
      <c r="A11" s="57" t="s">
        <v>59</v>
      </c>
      <c r="B11" s="57" t="s">
        <v>19</v>
      </c>
      <c r="C11" s="57">
        <v>2</v>
      </c>
      <c r="D11" s="57">
        <v>8000</v>
      </c>
      <c r="E11" s="57">
        <v>16000</v>
      </c>
      <c r="F11" s="57">
        <v>64000</v>
      </c>
      <c r="G11" s="57"/>
      <c r="H11" s="57"/>
    </row>
    <row r="12" spans="1:13">
      <c r="A12" s="57" t="s">
        <v>59</v>
      </c>
      <c r="B12" s="57" t="s">
        <v>19</v>
      </c>
      <c r="C12" s="57">
        <v>2</v>
      </c>
      <c r="D12" s="57">
        <v>8000</v>
      </c>
      <c r="E12" s="57">
        <v>16000</v>
      </c>
      <c r="F12" s="57">
        <v>80000</v>
      </c>
      <c r="G12" s="57"/>
      <c r="H12" s="57"/>
    </row>
    <row r="13" spans="1:13">
      <c r="A13" s="57" t="s">
        <v>59</v>
      </c>
      <c r="B13" s="57" t="s">
        <v>19</v>
      </c>
      <c r="C13" s="57">
        <v>2</v>
      </c>
      <c r="D13" s="57">
        <v>8000</v>
      </c>
      <c r="E13" s="57">
        <v>16000</v>
      </c>
      <c r="F13" s="57">
        <v>96000</v>
      </c>
      <c r="G13" s="57"/>
      <c r="H13" s="57"/>
    </row>
    <row r="14" spans="1:13">
      <c r="A14" s="57" t="s">
        <v>59</v>
      </c>
      <c r="B14" s="57" t="s">
        <v>19</v>
      </c>
      <c r="C14" s="57">
        <v>2</v>
      </c>
      <c r="D14" s="57">
        <v>8000</v>
      </c>
      <c r="E14" s="57">
        <v>16000</v>
      </c>
      <c r="F14" s="57">
        <v>112000</v>
      </c>
      <c r="G14" s="57"/>
      <c r="H14" s="57"/>
    </row>
    <row r="15" spans="1:13">
      <c r="A15" s="57" t="s">
        <v>59</v>
      </c>
      <c r="B15" s="57" t="s">
        <v>19</v>
      </c>
      <c r="C15" s="57">
        <v>2</v>
      </c>
      <c r="D15" s="57">
        <v>8000</v>
      </c>
      <c r="E15" s="57">
        <v>16000</v>
      </c>
      <c r="F15" s="57">
        <v>128000</v>
      </c>
      <c r="G15" s="57"/>
      <c r="H15" s="57"/>
    </row>
    <row r="16" spans="1:13">
      <c r="A16" s="57" t="s">
        <v>59</v>
      </c>
      <c r="B16" s="57" t="s">
        <v>19</v>
      </c>
      <c r="C16" s="57">
        <v>2</v>
      </c>
      <c r="D16" s="57">
        <v>8000</v>
      </c>
      <c r="E16" s="57">
        <v>16000</v>
      </c>
      <c r="F16" s="57">
        <v>144000</v>
      </c>
      <c r="G16" s="57"/>
      <c r="H16" s="57"/>
    </row>
    <row r="17" spans="1:8">
      <c r="A17" s="57" t="s">
        <v>59</v>
      </c>
      <c r="B17" s="57" t="s">
        <v>19</v>
      </c>
      <c r="C17" s="57">
        <v>2</v>
      </c>
      <c r="D17" s="57">
        <v>8000</v>
      </c>
      <c r="E17" s="57">
        <v>16000</v>
      </c>
      <c r="F17" s="57">
        <v>160000</v>
      </c>
      <c r="G17" s="57"/>
      <c r="H17" s="57"/>
    </row>
    <row r="18" spans="1:8">
      <c r="A18" s="57" t="s">
        <v>59</v>
      </c>
      <c r="B18" s="57" t="s">
        <v>19</v>
      </c>
      <c r="C18" s="57">
        <v>2</v>
      </c>
      <c r="D18" s="57">
        <v>8000</v>
      </c>
      <c r="E18" s="57">
        <v>16000</v>
      </c>
      <c r="F18" s="57">
        <v>176000</v>
      </c>
      <c r="G18" s="57"/>
      <c r="H18" s="57"/>
    </row>
    <row r="19" spans="1:8">
      <c r="A19" s="57" t="s">
        <v>59</v>
      </c>
      <c r="B19" s="57" t="s">
        <v>19</v>
      </c>
      <c r="C19" s="57">
        <v>2</v>
      </c>
      <c r="D19" s="57">
        <v>8000</v>
      </c>
      <c r="E19" s="57">
        <v>16000</v>
      </c>
      <c r="F19" s="57">
        <v>192000</v>
      </c>
      <c r="G19" s="57"/>
      <c r="H19" s="57"/>
    </row>
    <row r="20" spans="1:8">
      <c r="A20" s="57" t="s">
        <v>59</v>
      </c>
      <c r="B20" s="57" t="s">
        <v>19</v>
      </c>
      <c r="C20" s="57">
        <v>2</v>
      </c>
      <c r="D20" s="57">
        <v>8000</v>
      </c>
      <c r="E20" s="57">
        <v>16000</v>
      </c>
      <c r="F20" s="57">
        <v>208000</v>
      </c>
      <c r="G20" s="57"/>
      <c r="H20" s="57"/>
    </row>
    <row r="21" spans="1:8">
      <c r="A21" s="57" t="s">
        <v>59</v>
      </c>
      <c r="B21" s="57" t="s">
        <v>19</v>
      </c>
      <c r="C21" s="57">
        <v>2</v>
      </c>
      <c r="D21" s="57">
        <v>8000</v>
      </c>
      <c r="E21" s="57">
        <v>16000</v>
      </c>
      <c r="F21" s="57">
        <v>224000</v>
      </c>
      <c r="G21" s="57"/>
      <c r="H21" s="57"/>
    </row>
    <row r="22" spans="1:8">
      <c r="A22" s="57" t="s">
        <v>59</v>
      </c>
      <c r="B22" s="57" t="s">
        <v>19</v>
      </c>
      <c r="C22" s="57">
        <v>2</v>
      </c>
      <c r="D22" s="57">
        <v>8000</v>
      </c>
      <c r="E22" s="57">
        <v>16000</v>
      </c>
      <c r="F22" s="57">
        <v>240000</v>
      </c>
      <c r="G22" s="57"/>
      <c r="H22" s="57"/>
    </row>
    <row r="23" spans="1:8">
      <c r="A23" s="57" t="s">
        <v>58</v>
      </c>
      <c r="B23" s="57" t="s">
        <v>94</v>
      </c>
      <c r="C23" s="57">
        <v>3</v>
      </c>
      <c r="D23" s="57">
        <v>5000</v>
      </c>
      <c r="E23" s="57">
        <v>15000</v>
      </c>
      <c r="F23" s="57">
        <v>15000</v>
      </c>
      <c r="G23" s="57"/>
      <c r="H23" s="57"/>
    </row>
    <row r="24" spans="1:8">
      <c r="A24" s="57" t="s">
        <v>59</v>
      </c>
      <c r="B24" s="57" t="s">
        <v>19</v>
      </c>
      <c r="C24" s="57">
        <v>2</v>
      </c>
      <c r="D24" s="57">
        <v>8000</v>
      </c>
      <c r="E24" s="57">
        <v>16000</v>
      </c>
      <c r="F24" s="57">
        <v>31000</v>
      </c>
      <c r="G24" s="57"/>
      <c r="H24" s="57"/>
    </row>
    <row r="25" spans="1:8">
      <c r="A25" t="s">
        <v>61</v>
      </c>
      <c r="B25" t="s">
        <v>21</v>
      </c>
      <c r="C25">
        <v>1</v>
      </c>
      <c r="D25">
        <v>8000</v>
      </c>
      <c r="E25">
        <v>8000</v>
      </c>
      <c r="F25">
        <v>39000</v>
      </c>
    </row>
    <row r="26" spans="1:8">
      <c r="G26">
        <v>50000</v>
      </c>
      <c r="H26">
        <v>11000</v>
      </c>
    </row>
  </sheetData>
  <pageMargins left="0.7" right="0.7" top="0.75" bottom="0.75" header="0.3" footer="0.3"/>
  <pageSetup paperSize="9" orientation="landscape" horizontalDpi="4294967293" r:id="rId1"/>
  <legacyDrawing r:id="rId2"/>
  <controls>
    <control shapeId="6149" r:id="rId3" name="Reset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LOGIN</vt:lpstr>
      <vt:lpstr>Kasir</vt:lpstr>
      <vt:lpstr>sheet5</vt:lpstr>
      <vt:lpstr>BELAJAR</vt:lpstr>
      <vt:lpstr>belajar</vt:lpstr>
      <vt:lpstr>cacak</vt:lpstr>
      <vt:lpstr>hm</vt:lpstr>
      <vt:lpstr>Lap</vt:lpstr>
      <vt:lpstr>Nama</vt:lpstr>
      <vt:lpstr>PRINT</vt:lpstr>
      <vt:lpstr>Data!Print_Area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2017-01-12T04:14:37Z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96 96 1600 900</vt:lpwstr>
  </property>
</Properties>
</file>